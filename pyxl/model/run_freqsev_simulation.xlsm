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ce2015.sharepoint.com/sites/Cotation-CelluleCAT/Documents partages/3.Etudes/Internes/2025 TNV Actuarial Engine/Développement/Alpha/tarification-non-vie-module/pyxl/model/"/>
    </mc:Choice>
  </mc:AlternateContent>
  <xr:revisionPtr revIDLastSave="206" documentId="13_ncr:1_{43C10CBB-342D-42C0-BA89-7BE0C6AF4007}" xr6:coauthVersionLast="47" xr6:coauthVersionMax="47" xr10:uidLastSave="{69BFB351-79AC-456A-A6EA-F3182E4F5785}"/>
  <bookViews>
    <workbookView minimized="1" xWindow="780" yWindow="780" windowWidth="21600" windowHeight="11265" activeTab="1" xr2:uid="{886EB987-786A-4AF0-9047-71AED1A37B3E}"/>
  </bookViews>
  <sheets>
    <sheet name="Python" sheetId="4" r:id="rId1"/>
    <sheet name="Input" sheetId="1" r:id="rId2"/>
    <sheet name="Output" sheetId="2" r:id="rId3"/>
    <sheet name="UI Template" sheetId="6" r:id="rId4"/>
  </sheets>
  <functionGroups builtInGroupCount="19"/>
  <externalReferences>
    <externalReference r:id="rId5"/>
  </externalReferences>
  <definedNames>
    <definedName name="database_path">Python!#REF!</definedName>
    <definedName name="engine_path">Python!$C$5</definedName>
    <definedName name="frequency_parameter_1">Input!$C$9</definedName>
    <definedName name="loss_type">Input!$C$11</definedName>
    <definedName name="model_class">'[1]Models | Create Frequency-Sever'!$AA$2:$AA$4</definedName>
    <definedName name="model_id">Input!$C$10</definedName>
    <definedName name="python_interpreter_path">Python!$C$6</definedName>
    <definedName name="python_script_path">Python!$C$7</definedName>
    <definedName name="severity_distribution">Input!$C$6</definedName>
    <definedName name="severity_parameter_1">Input!$C$7</definedName>
    <definedName name="severity_parameter_2">Input!$C$8</definedName>
    <definedName name="simulation_years">Input!$C$4</definedName>
    <definedName name="threshold">Input!$C$5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 a="1"/>
  <c r="C5" i="4" a="1"/>
  <c r="C6" i="4" l="1"/>
  <c r="C5" i="4"/>
  <c r="C7" i="4" a="1"/>
  <c r="C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4" authorId="0" shapeId="0" xr:uid="{A237FE82-1C79-43E9-8C52-501AC8E46889}">
      <text>
        <r>
          <rPr>
            <sz val="9"/>
            <color indexed="81"/>
            <rFont val="Tahoma"/>
            <family val="2"/>
          </rPr>
          <t>When the user selects a Risk Profile, the risk profile table will be displayed below</t>
        </r>
      </text>
    </comment>
    <comment ref="P20" authorId="0" shapeId="0" xr:uid="{381B8F8B-3054-4F9C-A8CE-7A298363C522}">
      <text>
        <r>
          <rPr>
            <sz val="9"/>
            <color indexed="81"/>
            <rFont val="Tahoma"/>
            <family val="2"/>
          </rPr>
          <t>This is an input column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<sst xmlns="http://schemas.openxmlformats.org/spreadsheetml/2006/main" count="516" uniqueCount="68">
  <si>
    <t>loss_type</t>
  </si>
  <si>
    <t>model_id</t>
  </si>
  <si>
    <t>Input Data</t>
  </si>
  <si>
    <t>Output Data</t>
  </si>
  <si>
    <t>simulation_years</t>
  </si>
  <si>
    <t>threshold</t>
  </si>
  <si>
    <t>severity_distribution</t>
  </si>
  <si>
    <t>severity_parameter_1</t>
  </si>
  <si>
    <t>severity_parameter_2</t>
  </si>
  <si>
    <t>frequency_parameter_1</t>
  </si>
  <si>
    <t>pareto</t>
  </si>
  <si>
    <t>freqsev</t>
  </si>
  <si>
    <t>NON_CAT</t>
  </si>
  <si>
    <t>python_script_path</t>
  </si>
  <si>
    <t>python_interpreter_path</t>
  </si>
  <si>
    <t>year</t>
  </si>
  <si>
    <t>loss</t>
  </si>
  <si>
    <t>engine_path</t>
  </si>
  <si>
    <t>tnv_relative_level</t>
  </si>
  <si>
    <t>Python parameters</t>
  </si>
  <si>
    <t>Model Class</t>
  </si>
  <si>
    <t>Exposure-Based</t>
  </si>
  <si>
    <t>Data</t>
  </si>
  <si>
    <t>Risk Profile Files</t>
  </si>
  <si>
    <t>Select</t>
  </si>
  <si>
    <t>ID</t>
  </si>
  <si>
    <t>Name</t>
  </si>
  <si>
    <t>Data Date</t>
  </si>
  <si>
    <t>Start Year</t>
  </si>
  <si>
    <t>End Year</t>
  </si>
  <si>
    <t>☐</t>
  </si>
  <si>
    <t>a</t>
  </si>
  <si>
    <t>✓</t>
  </si>
  <si>
    <t>b</t>
  </si>
  <si>
    <t>c</t>
  </si>
  <si>
    <t>Risk Band</t>
  </si>
  <si>
    <t>SI Knowledge</t>
  </si>
  <si>
    <t>Currency</t>
  </si>
  <si>
    <t>As-Is Sum Insured</t>
  </si>
  <si>
    <t>As-If Sum Insured</t>
  </si>
  <si>
    <t>Risk Count</t>
  </si>
  <si>
    <t>As-Is Average SI</t>
  </si>
  <si>
    <t>As-If Average SI</t>
  </si>
  <si>
    <t>As-Is Premium</t>
  </si>
  <si>
    <t>As-If Premium</t>
  </si>
  <si>
    <t>Loss Ratio</t>
  </si>
  <si>
    <t>Region</t>
  </si>
  <si>
    <t>Vulnerability</t>
  </si>
  <si>
    <t>Computed Y</t>
  </si>
  <si>
    <t>Chosen Y</t>
  </si>
  <si>
    <t>Known</t>
  </si>
  <si>
    <t>EUR</t>
  </si>
  <si>
    <t>Europe</t>
  </si>
  <si>
    <t>Medium</t>
  </si>
  <si>
    <t>Unknown</t>
  </si>
  <si>
    <t>Asia</t>
  </si>
  <si>
    <t>High</t>
  </si>
  <si>
    <t>Model</t>
  </si>
  <si>
    <t>Threshold</t>
  </si>
  <si>
    <t>Ceiling</t>
  </si>
  <si>
    <t>Non Cat</t>
  </si>
  <si>
    <t>Cat</t>
  </si>
  <si>
    <t>Years Simulated</t>
  </si>
  <si>
    <t>Model File Name</t>
  </si>
  <si>
    <t>Lorem Ipsum</t>
  </si>
  <si>
    <t>Description</t>
  </si>
  <si>
    <t>Text Area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</si>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</sst>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Aptos Narrow"/>
      <family val="2"/>
    </font>
    <font>
      <i/>
      <sz val="10"/>
      <color rgb="FF3F3F76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1" fillId="0" borderId="0"/>
  </cellStyleXfs>
  <cellXfs count="34">
    <xf numFmtId="0" fontId="0" fillId="0" borderId="0" xfId="0"/>
    <xf numFmtId="0" fontId="2" fillId="0" borderId="0" xfId="1"/>
    <xf numFmtId="3" fontId="0" fillId="0" borderId="0" xfId="0" applyNumberFormat="1"/>
    <xf numFmtId="0" fontId="3" fillId="2" borderId="1" xfId="2" applyAlignment="1">
      <alignment horizontal="center"/>
    </xf>
    <xf numFmtId="0" fontId="0" fillId="0" borderId="0" xfId="0" applyAlignment="1">
      <alignment horizontal="right" indent="1"/>
    </xf>
    <xf numFmtId="3" fontId="3" fillId="2" borderId="1" xfId="2" applyNumberFormat="1" applyAlignment="1">
      <alignment horizontal="center"/>
    </xf>
    <xf numFmtId="0" fontId="4" fillId="3" borderId="2" xfId="3" applyBorder="1"/>
    <xf numFmtId="0" fontId="4" fillId="3" borderId="3" xfId="3" applyBorder="1"/>
    <xf numFmtId="0" fontId="4" fillId="3" borderId="4" xfId="3" applyBorder="1"/>
    <xf numFmtId="0" fontId="3" fillId="2" borderId="1" xfId="2" applyNumberFormat="1" applyAlignment="1">
      <alignment horizontal="center"/>
    </xf>
    <xf numFmtId="0" fontId="3" fillId="2" borderId="1" xfId="2"/>
    <xf numFmtId="0" fontId="6" fillId="0" borderId="0" xfId="0" applyFont="1"/>
    <xf numFmtId="0" fontId="6" fillId="0" borderId="0" xfId="0" applyFont="1" applyAlignment="1">
      <alignment horizontal="center"/>
    </xf>
    <xf numFmtId="14" fontId="0" fillId="0" borderId="0" xfId="0" applyNumberFormat="1"/>
    <xf numFmtId="9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0" fillId="4" borderId="0" xfId="0" applyNumberFormat="1" applyFill="1"/>
    <xf numFmtId="3" fontId="3" fillId="2" borderId="1" xfId="2" applyNumberFormat="1"/>
    <xf numFmtId="9" fontId="3" fillId="2" borderId="1" xfId="2" applyNumberFormat="1"/>
    <xf numFmtId="0" fontId="3" fillId="2" borderId="1" xfId="2" applyNumberFormat="1"/>
    <xf numFmtId="0" fontId="3" fillId="2" borderId="2" xfId="2" applyBorder="1"/>
    <xf numFmtId="0" fontId="3" fillId="2" borderId="3" xfId="2" applyBorder="1"/>
    <xf numFmtId="0" fontId="3" fillId="2" borderId="4" xfId="2" applyBorder="1"/>
    <xf numFmtId="0" fontId="3" fillId="2" borderId="5" xfId="2" applyBorder="1"/>
    <xf numFmtId="0" fontId="3" fillId="2" borderId="6" xfId="2" applyBorder="1"/>
    <xf numFmtId="0" fontId="3" fillId="2" borderId="7" xfId="2" applyBorder="1"/>
    <xf numFmtId="0" fontId="3" fillId="2" borderId="8" xfId="2" applyBorder="1"/>
    <xf numFmtId="0" fontId="3" fillId="2" borderId="0" xfId="2" applyBorder="1"/>
    <xf numFmtId="0" fontId="3" fillId="2" borderId="9" xfId="2" applyBorder="1"/>
    <xf numFmtId="0" fontId="8" fillId="2" borderId="0" xfId="2" applyFont="1" applyBorder="1"/>
    <xf numFmtId="0" fontId="3" fillId="2" borderId="10" xfId="2" applyBorder="1"/>
    <xf numFmtId="0" fontId="3" fillId="2" borderId="11" xfId="2" applyBorder="1"/>
    <xf numFmtId="0" fontId="3" fillId="2" borderId="12" xfId="2" applyBorder="1"/>
  </cellXfs>
  <cellStyles count="5">
    <cellStyle name="Calcul" xfId="3" builtinId="22" customBuiltin="1"/>
    <cellStyle name="Entrée" xfId="2" builtinId="20" customBuiltin="1"/>
    <cellStyle name="Normal" xfId="0" builtinId="0"/>
    <cellStyle name="Normal 2" xfId="4" xr:uid="{1050E6E3-5266-417E-B6EF-BB2FB03E2E0F}"/>
    <cellStyle name="Titre" xfId="1" builtinId="15"/>
  </cellStyles>
  <dxfs count="16">
    <dxf>
      <fill>
        <patternFill patternType="solid">
          <fgColor indexed="64"/>
          <bgColor rgb="FFFFFFCC"/>
        </patternFill>
      </fill>
    </dxf>
    <dxf>
      <numFmt numFmtId="164" formatCode="0.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numFmt numFmtId="19" formatCode="dd/mm/yyyy"/>
    </dxf>
    <dxf>
      <font>
        <b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3</xdr:row>
      <xdr:rowOff>66675</xdr:rowOff>
    </xdr:from>
    <xdr:to>
      <xdr:col>5</xdr:col>
      <xdr:colOff>714375</xdr:colOff>
      <xdr:row>4</xdr:row>
      <xdr:rowOff>142875</xdr:rowOff>
    </xdr:to>
    <xdr:sp macro="[0]!run_freqsev_simulation" textlink="">
      <xdr:nvSpPr>
        <xdr:cNvPr id="2" name="ZoneTexte 2">
          <a:extLst>
            <a:ext uri="{FF2B5EF4-FFF2-40B4-BE49-F238E27FC236}">
              <a16:creationId xmlns:a16="http://schemas.microsoft.com/office/drawing/2014/main" id="{F129D5A5-7137-449F-87FA-2C61996D7D19}"/>
            </a:ext>
          </a:extLst>
        </xdr:cNvPr>
        <xdr:cNvSpPr txBox="1"/>
      </xdr:nvSpPr>
      <xdr:spPr>
        <a:xfrm>
          <a:off x="3467100" y="819150"/>
          <a:ext cx="15811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run_freqsev_simulation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53</xdr:row>
          <xdr:rowOff>152400</xdr:rowOff>
        </xdr:from>
        <xdr:to>
          <xdr:col>1</xdr:col>
          <xdr:colOff>923925</xdr:colOff>
          <xdr:row>55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A1EDC0F-E61F-4342-8FF5-EB5504B70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ptos Narrow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29</xdr:row>
          <xdr:rowOff>161925</xdr:rowOff>
        </xdr:from>
        <xdr:to>
          <xdr:col>1</xdr:col>
          <xdr:colOff>1057275</xdr:colOff>
          <xdr:row>31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D420378-02BD-441F-9539-F6F85F450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4</xdr:row>
          <xdr:rowOff>123825</xdr:rowOff>
        </xdr:from>
        <xdr:to>
          <xdr:col>1</xdr:col>
          <xdr:colOff>1095375</xdr:colOff>
          <xdr:row>6</xdr:row>
          <xdr:rowOff>114300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2781DE49-EF7A-429D-9B03-909B4221A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38100</xdr:colOff>
      <xdr:row>4</xdr:row>
      <xdr:rowOff>123825</xdr:rowOff>
    </xdr:from>
    <xdr:to>
      <xdr:col>6</xdr:col>
      <xdr:colOff>161925</xdr:colOff>
      <xdr:row>6</xdr:row>
      <xdr:rowOff>95250</xdr:rowOff>
    </xdr:to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F0D53D3E-EAF5-4F8F-A787-A34E96A42CCA}"/>
            </a:ext>
          </a:extLst>
        </xdr:cNvPr>
        <xdr:cNvSpPr txBox="1"/>
      </xdr:nvSpPr>
      <xdr:spPr>
        <a:xfrm>
          <a:off x="2028825" y="942975"/>
          <a:ext cx="3609975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When the user clicks Select, the Data</a:t>
          </a:r>
          <a:r>
            <a:rPr lang="fr-FR" sz="1000" baseline="0"/>
            <a:t> section </a:t>
          </a:r>
          <a:r>
            <a:rPr lang="fr-FR" sz="1000"/>
            <a:t>will appear</a:t>
          </a:r>
          <a:r>
            <a:rPr lang="fr-FR" sz="1000" baseline="0"/>
            <a:t> below</a:t>
          </a:r>
          <a:endParaRPr lang="fr-FR" sz="1000"/>
        </a:p>
      </xdr:txBody>
    </xdr:sp>
    <xdr:clientData/>
  </xdr:twoCellAnchor>
  <xdr:twoCellAnchor>
    <xdr:from>
      <xdr:col>2</xdr:col>
      <xdr:colOff>123825</xdr:colOff>
      <xdr:row>2</xdr:row>
      <xdr:rowOff>85725</xdr:rowOff>
    </xdr:from>
    <xdr:to>
      <xdr:col>3</xdr:col>
      <xdr:colOff>0</xdr:colOff>
      <xdr:row>4</xdr:row>
      <xdr:rowOff>57150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DF6AB33C-71A3-40E2-A27E-17FF977C556F}"/>
            </a:ext>
          </a:extLst>
        </xdr:cNvPr>
        <xdr:cNvSpPr txBox="1"/>
      </xdr:nvSpPr>
      <xdr:spPr>
        <a:xfrm>
          <a:off x="2114550" y="561975"/>
          <a:ext cx="876300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&lt;- Dropdown</a:t>
          </a:r>
        </a:p>
      </xdr:txBody>
    </xdr:sp>
    <xdr:clientData/>
  </xdr:twoCellAnchor>
  <xdr:twoCellAnchor>
    <xdr:from>
      <xdr:col>1</xdr:col>
      <xdr:colOff>1171575</xdr:colOff>
      <xdr:row>30</xdr:row>
      <xdr:rowOff>0</xdr:rowOff>
    </xdr:from>
    <xdr:to>
      <xdr:col>6</xdr:col>
      <xdr:colOff>66675</xdr:colOff>
      <xdr:row>31</xdr:row>
      <xdr:rowOff>142875</xdr:rowOff>
    </xdr:to>
    <xdr:sp macro="" textlink="">
      <xdr:nvSpPr>
        <xdr:cNvPr id="4" name="TextBox 4">
          <a:extLst>
            <a:ext uri="{FF2B5EF4-FFF2-40B4-BE49-F238E27FC236}">
              <a16:creationId xmlns:a16="http://schemas.microsoft.com/office/drawing/2014/main" id="{80817809-8138-46EC-AE6E-C94F6D6B13E4}"/>
            </a:ext>
          </a:extLst>
        </xdr:cNvPr>
        <xdr:cNvSpPr txBox="1"/>
      </xdr:nvSpPr>
      <xdr:spPr>
        <a:xfrm>
          <a:off x="1933575" y="5410200"/>
          <a:ext cx="3609975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When the user clicks Select, the Model</a:t>
          </a:r>
          <a:r>
            <a:rPr lang="fr-FR" sz="1000" baseline="0"/>
            <a:t> section </a:t>
          </a:r>
          <a:r>
            <a:rPr lang="fr-FR" sz="1000"/>
            <a:t>will appear</a:t>
          </a:r>
          <a:r>
            <a:rPr lang="fr-FR" sz="1000" baseline="0"/>
            <a:t> below</a:t>
          </a:r>
          <a:endParaRPr lang="fr-FR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ce2015-my.sharepoint.com/personal/abah_arundore_com/Documents/Home/profolder/1.%20work/2025%20TNV/2024-07%20TNV%20-%20UI%20Indications%20and%20Templates.xlsx" TargetMode="External"/><Relationship Id="rId1" Type="http://schemas.openxmlformats.org/officeDocument/2006/relationships/externalLinkPath" Target="https://sce2015-my.sharepoint.com/personal/abah_arundore_com/Documents/Home/profolder/1.%20work/2025%20TNV/2024-07%20TNV%20-%20UI%20Indications%20and%20Templat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Top menu bar"/>
      <sheetName val="Analysis | Search"/>
      <sheetName val="Analysis | Create"/>
      <sheetName val="Analysis | Details"/>
      <sheetName val="Analysis |  Layers"/>
      <sheetName val="Analysis | Layers | Modal Reins"/>
      <sheetName val="Detail Reinst Modal"/>
      <sheetName val="Analysis |  Layers | Import"/>
      <sheetName val="Analysis |  Data |  View"/>
      <sheetName val="Analysis | Data | Create RiskPr"/>
      <sheetName val="Analysis | Data | Create Premiu"/>
      <sheetName val="Analysis | Data | Create Histo"/>
      <sheetName val="Analysis | Data | Add From Data"/>
      <sheetName val="Burning Cost"/>
      <sheetName val="Models | Create Frequency-Sever"/>
      <sheetName val="Models | Create Exposure-Based"/>
      <sheetName val="Models | Create Blending"/>
      <sheetName val="Relationships"/>
      <sheetName val="Results | Loss Distribution"/>
      <sheetName val="Results | Technical Pricing"/>
      <sheetName val="Results | Instances"/>
      <sheetName val="Locked and Available Tags"/>
      <sheetName val="Data | Risk Profiles | View"/>
      <sheetName val="Data | Risk Profiles | Create"/>
      <sheetName val="Data | Premiums | Create"/>
      <sheetName val="Data | Historical Loss | Create"/>
      <sheetName val="Portfolio | Sear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AA2" t="str">
            <v>Frequency-Severity</v>
          </cell>
        </row>
        <row r="3">
          <cell r="AA3" t="str">
            <v>Exposure-Based</v>
          </cell>
        </row>
        <row r="4">
          <cell r="AA4" t="str">
            <v>Blending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2D4725-EFAB-484B-82B2-92919D874662}" name="table_output" displayName="table_output" ref="B4:E213" totalsRowShown="0">
  <autoFilter ref="B4:E213" xr:uid="{8B2D4725-EFAB-484B-82B2-92919D874662}"/>
  <tableColumns count="4">
    <tableColumn id="1" xr3:uid="{C5ADC898-D97A-4C43-BA43-CE0027CC29B8}" name="model_id"/>
    <tableColumn id="2" xr3:uid="{9D99045C-6E2A-4C8C-863B-6796179A5512}" name="year" dataDxfId="15"/>
    <tableColumn id="3" xr3:uid="{A11D9DCB-1C87-458E-BDBD-5697C3D91752}" name="loss_type"/>
    <tableColumn id="4" xr3:uid="{B7FD31F7-7F9B-4644-929C-CFF00BF2608C}" name="los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ED001D-3557-4F82-9CF2-BCE7C1F4DDA1}" name="Tableau121" displayName="Tableau121" ref="B14:G17" totalsRowShown="0">
  <autoFilter ref="B14:G17" xr:uid="{2B9D1523-6B15-465E-A390-D51119261B41}"/>
  <tableColumns count="6">
    <tableColumn id="4" xr3:uid="{24CCEE10-7A9C-48C3-94AC-9079189349C2}" name="Select" dataDxfId="13"/>
    <tableColumn id="1" xr3:uid="{AC8BCDA4-28A6-46C6-B34F-46882D45D311}" name="ID"/>
    <tableColumn id="2" xr3:uid="{3D8E135B-A923-4368-89AA-4795DB797C58}" name="Name"/>
    <tableColumn id="3" xr3:uid="{ED534A24-28FB-41AA-BB25-2768F7776431}" name="Data Date" dataDxfId="12"/>
    <tableColumn id="5" xr3:uid="{B9E35A57-188A-4B65-A798-F76211D70A88}" name="Start Year"/>
    <tableColumn id="6" xr3:uid="{5CCCA5A7-0840-4319-AFFE-027200E56478}" name="End 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2C0395-F229-4965-B7F7-432BD834875D}" name="Table51227" displayName="Table51227" ref="B20:P28" totalsRowShown="0">
  <autoFilter ref="B20:P28" xr:uid="{EFBE81E2-6BFD-4EAF-9E02-2FAB93A13874}"/>
  <tableColumns count="15">
    <tableColumn id="16" xr3:uid="{DDDC95EF-868D-4EB5-9EFB-0ADE9626354E}" name="Risk Band" dataDxfId="11"/>
    <tableColumn id="14" xr3:uid="{746E0936-476B-42BB-AF51-686A364A449C}" name="SI Knowledge"/>
    <tableColumn id="19" xr3:uid="{263EC5FD-CBB5-4110-AE10-B39531C6CFF4}" name="Currency" dataDxfId="10"/>
    <tableColumn id="4" xr3:uid="{B669E4E1-6636-47CE-90D5-2DBEF55AD71E}" name="As-Is Sum Insured" dataDxfId="9"/>
    <tableColumn id="5" xr3:uid="{CBD31ADE-7EB7-4E35-A4D3-AA24BFA00145}" name="As-If Sum Insured" dataDxfId="8"/>
    <tableColumn id="8" xr3:uid="{8CEE3107-1797-4AA1-BA12-10B9183C2BA3}" name="Risk Count" dataDxfId="7"/>
    <tableColumn id="10" xr3:uid="{B35ABA89-BF49-40B0-8E38-7CBD14332815}" name="As-Is Average SI" dataDxfId="6"/>
    <tableColumn id="9" xr3:uid="{B9D0A11A-2B99-4D23-AC87-4A869BDE5D25}" name="As-If Average SI" dataDxfId="5"/>
    <tableColumn id="11" xr3:uid="{C1ACF447-64D7-4BFC-9448-47B618E8E3E6}" name="As-Is Premium" dataDxfId="4"/>
    <tableColumn id="15" xr3:uid="{CA7B00D0-40FE-48CE-9145-FE29FA3B5034}" name="As-If Premium" dataDxfId="3"/>
    <tableColumn id="12" xr3:uid="{E010195A-E3FA-447A-B67E-D7B0994915A7}" name="Loss Ratio"/>
    <tableColumn id="1" xr3:uid="{0819C330-363C-4303-B52A-FCE6C4A44621}" name="Region"/>
    <tableColumn id="2" xr3:uid="{360CDFCD-A7D7-4C26-BD67-4A7B0959BE52}" name="Vulnerability" dataDxfId="2"/>
    <tableColumn id="18" xr3:uid="{C4A21D98-01E4-46B0-A05B-F9134CDCF208}" name="Computed Y" dataDxfId="1"/>
    <tableColumn id="20" xr3:uid="{DE5D5447-1C5D-4848-A4E0-7CDEEF9DFE69}" name="Chosen 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AD8C0-C563-4AFB-BE1E-BAECF686BA8A}">
  <sheetPr codeName="Feuil3">
    <tabColor theme="7" tint="0.79998168889431442"/>
  </sheetPr>
  <dimension ref="B2:P7"/>
  <sheetViews>
    <sheetView showGridLines="0" workbookViewId="0">
      <selection activeCell="C9" sqref="C9"/>
    </sheetView>
  </sheetViews>
  <sheetFormatPr baseColWidth="10" defaultRowHeight="12.75" x14ac:dyDescent="0.2"/>
  <sheetData>
    <row r="2" spans="2:16" ht="23.25" x14ac:dyDescent="0.35">
      <c r="B2" s="1" t="s">
        <v>19</v>
      </c>
    </row>
    <row r="4" spans="2:16" x14ac:dyDescent="0.2">
      <c r="B4" s="4" t="s">
        <v>18</v>
      </c>
      <c r="C4" s="3">
        <v>2</v>
      </c>
    </row>
    <row r="5" spans="2:16" x14ac:dyDescent="0.2">
      <c r="B5" s="4" t="s">
        <v>17</v>
      </c>
      <c r="C5" s="6" t="str" cm="1">
        <f t="array" ref="C5">GetParentPath(C4) &amp; "\engine"</f>
        <v>D:\CCR RE\SPO-RE - Cotation-CelluleCAT - Documents\3.Etudes\Internes\2025 TNV Actuarial Engine\Développement\Alpha\tarification-non-vie-module\engine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8"/>
    </row>
    <row r="6" spans="2:16" x14ac:dyDescent="0.2">
      <c r="B6" s="4" t="s">
        <v>14</v>
      </c>
      <c r="C6" s="6" t="str" cm="1">
        <f t="array" ref="C6">GetParentPath(C4) &amp; "\.venv\Scripts\python.exe"</f>
        <v>D:\CCR RE\SPO-RE - Cotation-CelluleCAT - Documents\3.Etudes\Internes\2025 TNV Actuarial Engine\Développement\Alpha\tarification-non-vie-module\.venv\Scripts\python.exe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8"/>
    </row>
    <row r="7" spans="2:16" x14ac:dyDescent="0.2">
      <c r="B7" s="4" t="s">
        <v>13</v>
      </c>
      <c r="C7" s="6" t="str" cm="1">
        <f t="array" ref="C7">GetCurrentPath() &amp; "\" &amp; GetThisWorkbookName() &amp; ".py"</f>
        <v>D:\CCR RE\SPO-RE - Cotation-CelluleCAT - Documents\3.Etudes\Internes\2025 TNV Actuarial Engine\Développement\Alpha\tarification-non-vie-module\pyxl\model\run_freqsev_simulation.py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E39"/>
  <sheetViews>
    <sheetView showGridLines="0" tabSelected="1" workbookViewId="0">
      <selection activeCell="E39" sqref="E39"/>
    </sheetView>
  </sheetViews>
  <sheetFormatPr baseColWidth="10" defaultColWidth="11.42578125" defaultRowHeight="12.75" x14ac:dyDescent="0.2"/>
  <cols>
    <col min="2" max="2" width="19.28515625" customWidth="1"/>
  </cols>
  <sheetData>
    <row r="2" spans="2:3" ht="23.25" x14ac:dyDescent="0.35">
      <c r="B2" s="1" t="s">
        <v>2</v>
      </c>
    </row>
    <row r="3" spans="2:3" ht="23.25" x14ac:dyDescent="0.35">
      <c r="B3" s="1"/>
    </row>
    <row r="4" spans="2:3" x14ac:dyDescent="0.2">
      <c r="B4" s="4" t="s">
        <v>4</v>
      </c>
      <c r="C4" s="9">
        <v>10</v>
      </c>
    </row>
    <row r="5" spans="2:3" x14ac:dyDescent="0.2">
      <c r="B5" s="4" t="s">
        <v>5</v>
      </c>
      <c r="C5" s="5">
        <v>4000000</v>
      </c>
    </row>
    <row r="6" spans="2:3" x14ac:dyDescent="0.2">
      <c r="B6" s="4" t="s">
        <v>6</v>
      </c>
      <c r="C6" s="3" t="s">
        <v>10</v>
      </c>
    </row>
    <row r="7" spans="2:3" x14ac:dyDescent="0.2">
      <c r="B7" s="4" t="s">
        <v>7</v>
      </c>
      <c r="C7" s="3">
        <v>1.5</v>
      </c>
    </row>
    <row r="8" spans="2:3" x14ac:dyDescent="0.2">
      <c r="B8" s="4" t="s">
        <v>8</v>
      </c>
      <c r="C8" s="3"/>
    </row>
    <row r="9" spans="2:3" x14ac:dyDescent="0.2">
      <c r="B9" s="4" t="s">
        <v>9</v>
      </c>
      <c r="C9" s="3">
        <v>2</v>
      </c>
    </row>
    <row r="10" spans="2:3" x14ac:dyDescent="0.2">
      <c r="B10" s="4" t="s">
        <v>1</v>
      </c>
      <c r="C10" s="3" t="s">
        <v>11</v>
      </c>
    </row>
    <row r="11" spans="2:3" x14ac:dyDescent="0.2">
      <c r="B11" s="4" t="s">
        <v>0</v>
      </c>
      <c r="C11" s="3" t="s">
        <v>12</v>
      </c>
    </row>
    <row r="39" spans="5:5" x14ac:dyDescent="0.2">
      <c r="E39" t="s">
        <v>67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E213"/>
  <sheetViews>
    <sheetView showGridLines="0" workbookViewId="0">
      <selection activeCell="E33" sqref="E33"/>
    </sheetView>
  </sheetViews>
  <sheetFormatPr baseColWidth="10" defaultColWidth="11.42578125" defaultRowHeight="12.75" x14ac:dyDescent="0.2"/>
  <cols>
    <col min="1" max="1" width="12.28515625" bestFit="1" customWidth="1"/>
    <col min="2" max="2" width="20.85546875" bestFit="1" customWidth="1"/>
    <col min="3" max="3" width="9.28515625" customWidth="1"/>
    <col min="4" max="4" width="13.85546875" customWidth="1"/>
    <col min="5" max="5" width="13.140625" customWidth="1"/>
  </cols>
  <sheetData>
    <row r="2" spans="2:5" ht="23.25" x14ac:dyDescent="0.35">
      <c r="B2" s="1" t="s">
        <v>3</v>
      </c>
    </row>
    <row r="4" spans="2:5" x14ac:dyDescent="0.2">
      <c r="B4" t="s">
        <v>1</v>
      </c>
      <c r="C4" t="s">
        <v>15</v>
      </c>
      <c r="D4" t="s">
        <v>0</v>
      </c>
      <c r="E4" t="s">
        <v>16</v>
      </c>
    </row>
    <row r="5" spans="2:5" x14ac:dyDescent="0.2">
      <c r="B5" t="s">
        <v>11</v>
      </c>
      <c r="C5" s="2">
        <v>1</v>
      </c>
      <c r="D5" t="s">
        <v>12</v>
      </c>
      <c r="E5" s="2">
        <v>5368559</v>
      </c>
    </row>
    <row r="6" spans="2:5" x14ac:dyDescent="0.2">
      <c r="B6" t="s">
        <v>11</v>
      </c>
      <c r="C6" s="2">
        <v>1</v>
      </c>
      <c r="D6" t="s">
        <v>12</v>
      </c>
      <c r="E6" s="2">
        <v>4359020</v>
      </c>
    </row>
    <row r="7" spans="2:5" x14ac:dyDescent="0.2">
      <c r="B7" t="s">
        <v>11</v>
      </c>
      <c r="C7" s="2">
        <v>2</v>
      </c>
      <c r="D7" t="s">
        <v>12</v>
      </c>
      <c r="E7" s="2">
        <v>5584165</v>
      </c>
    </row>
    <row r="8" spans="2:5" x14ac:dyDescent="0.2">
      <c r="B8" t="s">
        <v>11</v>
      </c>
      <c r="C8" s="2">
        <v>4</v>
      </c>
      <c r="D8" t="s">
        <v>12</v>
      </c>
      <c r="E8" s="2">
        <v>5379231</v>
      </c>
    </row>
    <row r="9" spans="2:5" x14ac:dyDescent="0.2">
      <c r="B9" t="s">
        <v>11</v>
      </c>
      <c r="C9" s="2">
        <v>4</v>
      </c>
      <c r="D9" t="s">
        <v>12</v>
      </c>
      <c r="E9" s="2">
        <v>8796442</v>
      </c>
    </row>
    <row r="10" spans="2:5" x14ac:dyDescent="0.2">
      <c r="B10" t="s">
        <v>11</v>
      </c>
      <c r="C10" s="2">
        <v>5</v>
      </c>
      <c r="D10" t="s">
        <v>12</v>
      </c>
      <c r="E10" s="2">
        <v>4298325</v>
      </c>
    </row>
    <row r="11" spans="2:5" x14ac:dyDescent="0.2">
      <c r="B11" t="s">
        <v>11</v>
      </c>
      <c r="C11" s="2">
        <v>5</v>
      </c>
      <c r="D11" t="s">
        <v>12</v>
      </c>
      <c r="E11" s="2">
        <v>6054278</v>
      </c>
    </row>
    <row r="12" spans="2:5" x14ac:dyDescent="0.2">
      <c r="B12" t="s">
        <v>11</v>
      </c>
      <c r="C12" s="2">
        <v>7</v>
      </c>
      <c r="D12" t="s">
        <v>12</v>
      </c>
      <c r="E12" s="2">
        <v>12237174</v>
      </c>
    </row>
    <row r="13" spans="2:5" x14ac:dyDescent="0.2">
      <c r="B13" t="s">
        <v>11</v>
      </c>
      <c r="C13" s="2">
        <v>8</v>
      </c>
      <c r="D13" t="s">
        <v>12</v>
      </c>
      <c r="E13" s="2">
        <v>11806611</v>
      </c>
    </row>
    <row r="14" spans="2:5" x14ac:dyDescent="0.2">
      <c r="B14" t="s">
        <v>11</v>
      </c>
      <c r="C14" s="2">
        <v>9</v>
      </c>
      <c r="D14" t="s">
        <v>12</v>
      </c>
      <c r="E14" s="2">
        <v>11854165</v>
      </c>
    </row>
    <row r="15" spans="2:5" x14ac:dyDescent="0.2">
      <c r="B15" t="s">
        <v>11</v>
      </c>
      <c r="C15" s="2">
        <v>9</v>
      </c>
      <c r="D15" t="s">
        <v>12</v>
      </c>
      <c r="E15" s="2">
        <v>51710577</v>
      </c>
    </row>
    <row r="16" spans="2:5" x14ac:dyDescent="0.2">
      <c r="B16" t="s">
        <v>11</v>
      </c>
      <c r="C16" s="2">
        <v>9</v>
      </c>
      <c r="D16" t="s">
        <v>12</v>
      </c>
      <c r="E16" s="2">
        <v>10009413</v>
      </c>
    </row>
    <row r="17" spans="2:5" x14ac:dyDescent="0.2">
      <c r="B17" t="s">
        <v>11</v>
      </c>
      <c r="C17" s="2">
        <v>9</v>
      </c>
      <c r="D17" t="s">
        <v>12</v>
      </c>
      <c r="E17" s="2">
        <v>8184866</v>
      </c>
    </row>
    <row r="18" spans="2:5" x14ac:dyDescent="0.2">
      <c r="B18" t="s">
        <v>11</v>
      </c>
      <c r="C18" s="2">
        <v>11</v>
      </c>
      <c r="D18" t="s">
        <v>12</v>
      </c>
      <c r="E18" s="2">
        <v>4969450</v>
      </c>
    </row>
    <row r="19" spans="2:5" x14ac:dyDescent="0.2">
      <c r="B19" t="s">
        <v>11</v>
      </c>
      <c r="C19" s="2">
        <v>12</v>
      </c>
      <c r="D19" t="s">
        <v>12</v>
      </c>
      <c r="E19" s="2">
        <v>4932833</v>
      </c>
    </row>
    <row r="20" spans="2:5" x14ac:dyDescent="0.2">
      <c r="B20" t="s">
        <v>11</v>
      </c>
      <c r="C20" s="2">
        <v>12</v>
      </c>
      <c r="D20" t="s">
        <v>12</v>
      </c>
      <c r="E20" s="2">
        <v>8650334</v>
      </c>
    </row>
    <row r="21" spans="2:5" x14ac:dyDescent="0.2">
      <c r="B21" t="s">
        <v>11</v>
      </c>
      <c r="C21" s="2">
        <v>12</v>
      </c>
      <c r="D21" t="s">
        <v>12</v>
      </c>
      <c r="E21" s="2">
        <v>5947893</v>
      </c>
    </row>
    <row r="22" spans="2:5" x14ac:dyDescent="0.2">
      <c r="B22" t="s">
        <v>11</v>
      </c>
      <c r="C22" s="2">
        <v>12</v>
      </c>
      <c r="D22" t="s">
        <v>12</v>
      </c>
      <c r="E22" s="2">
        <v>6291327</v>
      </c>
    </row>
    <row r="23" spans="2:5" x14ac:dyDescent="0.2">
      <c r="B23" t="s">
        <v>11</v>
      </c>
      <c r="C23" s="2">
        <v>13</v>
      </c>
      <c r="D23" t="s">
        <v>12</v>
      </c>
      <c r="E23" s="2">
        <v>4862804</v>
      </c>
    </row>
    <row r="24" spans="2:5" x14ac:dyDescent="0.2">
      <c r="B24" t="s">
        <v>11</v>
      </c>
      <c r="C24" s="2">
        <v>13</v>
      </c>
      <c r="D24" t="s">
        <v>12</v>
      </c>
      <c r="E24" s="2">
        <v>6401214</v>
      </c>
    </row>
    <row r="25" spans="2:5" x14ac:dyDescent="0.2">
      <c r="B25" t="s">
        <v>11</v>
      </c>
      <c r="C25" s="2">
        <v>14</v>
      </c>
      <c r="D25" t="s">
        <v>12</v>
      </c>
      <c r="E25" s="2">
        <v>18266026</v>
      </c>
    </row>
    <row r="26" spans="2:5" x14ac:dyDescent="0.2">
      <c r="B26" t="s">
        <v>11</v>
      </c>
      <c r="C26" s="2">
        <v>14</v>
      </c>
      <c r="D26" t="s">
        <v>12</v>
      </c>
      <c r="E26" s="2">
        <v>5832376</v>
      </c>
    </row>
    <row r="27" spans="2:5" x14ac:dyDescent="0.2">
      <c r="B27" t="s">
        <v>11</v>
      </c>
      <c r="C27" s="2">
        <v>15</v>
      </c>
      <c r="D27" t="s">
        <v>12</v>
      </c>
      <c r="E27" s="2">
        <v>23097360</v>
      </c>
    </row>
    <row r="28" spans="2:5" x14ac:dyDescent="0.2">
      <c r="B28" t="s">
        <v>11</v>
      </c>
      <c r="C28" s="2">
        <v>15</v>
      </c>
      <c r="D28" t="s">
        <v>12</v>
      </c>
      <c r="E28" s="2">
        <v>12617282</v>
      </c>
    </row>
    <row r="29" spans="2:5" x14ac:dyDescent="0.2">
      <c r="B29" t="s">
        <v>11</v>
      </c>
      <c r="C29" s="2">
        <v>15</v>
      </c>
      <c r="D29" t="s">
        <v>12</v>
      </c>
      <c r="E29" s="2">
        <v>15369399</v>
      </c>
    </row>
    <row r="30" spans="2:5" x14ac:dyDescent="0.2">
      <c r="B30" t="s">
        <v>11</v>
      </c>
      <c r="C30" s="2">
        <v>16</v>
      </c>
      <c r="D30" t="s">
        <v>12</v>
      </c>
      <c r="E30" s="2">
        <v>4357568</v>
      </c>
    </row>
    <row r="31" spans="2:5" x14ac:dyDescent="0.2">
      <c r="B31" t="s">
        <v>11</v>
      </c>
      <c r="C31" s="2">
        <v>17</v>
      </c>
      <c r="D31" t="s">
        <v>12</v>
      </c>
      <c r="E31" s="2">
        <v>6931642</v>
      </c>
    </row>
    <row r="32" spans="2:5" x14ac:dyDescent="0.2">
      <c r="B32" t="s">
        <v>11</v>
      </c>
      <c r="C32" s="2">
        <v>17</v>
      </c>
      <c r="D32" t="s">
        <v>12</v>
      </c>
      <c r="E32" s="2">
        <v>6000419</v>
      </c>
    </row>
    <row r="33" spans="2:5" x14ac:dyDescent="0.2">
      <c r="B33" t="s">
        <v>11</v>
      </c>
      <c r="C33" s="2">
        <v>18</v>
      </c>
      <c r="D33" t="s">
        <v>12</v>
      </c>
      <c r="E33" s="2">
        <v>5362195</v>
      </c>
    </row>
    <row r="34" spans="2:5" x14ac:dyDescent="0.2">
      <c r="B34" t="s">
        <v>11</v>
      </c>
      <c r="C34" s="2">
        <v>18</v>
      </c>
      <c r="D34" t="s">
        <v>12</v>
      </c>
      <c r="E34" s="2">
        <v>6495182</v>
      </c>
    </row>
    <row r="35" spans="2:5" x14ac:dyDescent="0.2">
      <c r="B35" t="s">
        <v>11</v>
      </c>
      <c r="C35" s="2">
        <v>18</v>
      </c>
      <c r="D35" t="s">
        <v>12</v>
      </c>
      <c r="E35" s="2">
        <v>4368643</v>
      </c>
    </row>
    <row r="36" spans="2:5" x14ac:dyDescent="0.2">
      <c r="B36" t="s">
        <v>11</v>
      </c>
      <c r="C36" s="2">
        <v>18</v>
      </c>
      <c r="D36" t="s">
        <v>12</v>
      </c>
      <c r="E36" s="2">
        <v>5822105</v>
      </c>
    </row>
    <row r="37" spans="2:5" x14ac:dyDescent="0.2">
      <c r="B37" t="s">
        <v>11</v>
      </c>
      <c r="C37" s="2">
        <v>18</v>
      </c>
      <c r="D37" t="s">
        <v>12</v>
      </c>
      <c r="E37" s="2">
        <v>5158209</v>
      </c>
    </row>
    <row r="38" spans="2:5" x14ac:dyDescent="0.2">
      <c r="B38" t="s">
        <v>11</v>
      </c>
      <c r="C38" s="2">
        <v>18</v>
      </c>
      <c r="D38" t="s">
        <v>12</v>
      </c>
      <c r="E38" s="2">
        <v>10964454</v>
      </c>
    </row>
    <row r="39" spans="2:5" x14ac:dyDescent="0.2">
      <c r="B39" t="s">
        <v>11</v>
      </c>
      <c r="C39" s="2">
        <v>19</v>
      </c>
      <c r="D39" t="s">
        <v>12</v>
      </c>
      <c r="E39" s="2">
        <v>14097307</v>
      </c>
    </row>
    <row r="40" spans="2:5" x14ac:dyDescent="0.2">
      <c r="B40" t="s">
        <v>11</v>
      </c>
      <c r="C40" s="2">
        <v>19</v>
      </c>
      <c r="D40" t="s">
        <v>12</v>
      </c>
      <c r="E40" s="2">
        <v>5377664</v>
      </c>
    </row>
    <row r="41" spans="2:5" x14ac:dyDescent="0.2">
      <c r="B41" t="s">
        <v>11</v>
      </c>
      <c r="C41" s="2">
        <v>19</v>
      </c>
      <c r="D41" t="s">
        <v>12</v>
      </c>
      <c r="E41" s="2">
        <v>4297249</v>
      </c>
    </row>
    <row r="42" spans="2:5" x14ac:dyDescent="0.2">
      <c r="B42" t="s">
        <v>11</v>
      </c>
      <c r="C42" s="2">
        <v>19</v>
      </c>
      <c r="D42" t="s">
        <v>12</v>
      </c>
      <c r="E42" s="2">
        <v>9309699</v>
      </c>
    </row>
    <row r="43" spans="2:5" x14ac:dyDescent="0.2">
      <c r="B43" t="s">
        <v>11</v>
      </c>
      <c r="C43" s="2">
        <v>20</v>
      </c>
      <c r="D43" t="s">
        <v>12</v>
      </c>
      <c r="E43" s="2">
        <v>5251588</v>
      </c>
    </row>
    <row r="44" spans="2:5" x14ac:dyDescent="0.2">
      <c r="B44" t="s">
        <v>11</v>
      </c>
      <c r="C44" s="2">
        <v>22</v>
      </c>
      <c r="D44" t="s">
        <v>12</v>
      </c>
      <c r="E44" s="2">
        <v>66540099</v>
      </c>
    </row>
    <row r="45" spans="2:5" x14ac:dyDescent="0.2">
      <c r="B45" t="s">
        <v>11</v>
      </c>
      <c r="C45" s="2">
        <v>22</v>
      </c>
      <c r="D45" t="s">
        <v>12</v>
      </c>
      <c r="E45" s="2">
        <v>7734401</v>
      </c>
    </row>
    <row r="46" spans="2:5" x14ac:dyDescent="0.2">
      <c r="B46" t="s">
        <v>11</v>
      </c>
      <c r="C46" s="2">
        <v>23</v>
      </c>
      <c r="D46" t="s">
        <v>12</v>
      </c>
      <c r="E46" s="2">
        <v>24499772</v>
      </c>
    </row>
    <row r="47" spans="2:5" x14ac:dyDescent="0.2">
      <c r="B47" t="s">
        <v>11</v>
      </c>
      <c r="C47" s="2">
        <v>23</v>
      </c>
      <c r="D47" t="s">
        <v>12</v>
      </c>
      <c r="E47" s="2">
        <v>4923384</v>
      </c>
    </row>
    <row r="48" spans="2:5" x14ac:dyDescent="0.2">
      <c r="B48" t="s">
        <v>11</v>
      </c>
      <c r="C48" s="2">
        <v>24</v>
      </c>
      <c r="D48" t="s">
        <v>12</v>
      </c>
      <c r="E48" s="2">
        <v>4833323</v>
      </c>
    </row>
    <row r="49" spans="2:5" x14ac:dyDescent="0.2">
      <c r="B49" t="s">
        <v>11</v>
      </c>
      <c r="C49" s="2">
        <v>24</v>
      </c>
      <c r="D49" t="s">
        <v>12</v>
      </c>
      <c r="E49" s="2">
        <v>5348587</v>
      </c>
    </row>
    <row r="50" spans="2:5" x14ac:dyDescent="0.2">
      <c r="B50" t="s">
        <v>11</v>
      </c>
      <c r="C50" s="2">
        <v>26</v>
      </c>
      <c r="D50" t="s">
        <v>12</v>
      </c>
      <c r="E50" s="2">
        <v>13119844</v>
      </c>
    </row>
    <row r="51" spans="2:5" x14ac:dyDescent="0.2">
      <c r="B51" t="s">
        <v>11</v>
      </c>
      <c r="C51" s="2">
        <v>26</v>
      </c>
      <c r="D51" t="s">
        <v>12</v>
      </c>
      <c r="E51" s="2">
        <v>7845715</v>
      </c>
    </row>
    <row r="52" spans="2:5" x14ac:dyDescent="0.2">
      <c r="B52" t="s">
        <v>11</v>
      </c>
      <c r="C52" s="2">
        <v>26</v>
      </c>
      <c r="D52" t="s">
        <v>12</v>
      </c>
      <c r="E52" s="2">
        <v>38374135</v>
      </c>
    </row>
    <row r="53" spans="2:5" x14ac:dyDescent="0.2">
      <c r="B53" t="s">
        <v>11</v>
      </c>
      <c r="C53" s="2">
        <v>28</v>
      </c>
      <c r="D53" t="s">
        <v>12</v>
      </c>
      <c r="E53" s="2">
        <v>5873740</v>
      </c>
    </row>
    <row r="54" spans="2:5" x14ac:dyDescent="0.2">
      <c r="B54" t="s">
        <v>11</v>
      </c>
      <c r="C54" s="2">
        <v>29</v>
      </c>
      <c r="D54" t="s">
        <v>12</v>
      </c>
      <c r="E54" s="2">
        <v>4034663</v>
      </c>
    </row>
    <row r="55" spans="2:5" x14ac:dyDescent="0.2">
      <c r="B55" t="s">
        <v>11</v>
      </c>
      <c r="C55" s="2">
        <v>30</v>
      </c>
      <c r="D55" t="s">
        <v>12</v>
      </c>
      <c r="E55" s="2">
        <v>4015948</v>
      </c>
    </row>
    <row r="56" spans="2:5" x14ac:dyDescent="0.2">
      <c r="B56" t="s">
        <v>11</v>
      </c>
      <c r="C56" s="2">
        <v>30</v>
      </c>
      <c r="D56" t="s">
        <v>12</v>
      </c>
      <c r="E56" s="2">
        <v>5177200</v>
      </c>
    </row>
    <row r="57" spans="2:5" x14ac:dyDescent="0.2">
      <c r="B57" t="s">
        <v>11</v>
      </c>
      <c r="C57" s="2">
        <v>30</v>
      </c>
      <c r="D57" t="s">
        <v>12</v>
      </c>
      <c r="E57" s="2">
        <v>22341462</v>
      </c>
    </row>
    <row r="58" spans="2:5" x14ac:dyDescent="0.2">
      <c r="B58" t="s">
        <v>11</v>
      </c>
      <c r="C58" s="2">
        <v>30</v>
      </c>
      <c r="D58" t="s">
        <v>12</v>
      </c>
      <c r="E58" s="2">
        <v>5249580</v>
      </c>
    </row>
    <row r="59" spans="2:5" x14ac:dyDescent="0.2">
      <c r="B59" t="s">
        <v>11</v>
      </c>
      <c r="C59" s="2">
        <v>31</v>
      </c>
      <c r="D59" t="s">
        <v>12</v>
      </c>
      <c r="E59" s="2">
        <v>4733360</v>
      </c>
    </row>
    <row r="60" spans="2:5" x14ac:dyDescent="0.2">
      <c r="B60" t="s">
        <v>11</v>
      </c>
      <c r="C60" s="2">
        <v>31</v>
      </c>
      <c r="D60" t="s">
        <v>12</v>
      </c>
      <c r="E60" s="2">
        <v>7577782</v>
      </c>
    </row>
    <row r="61" spans="2:5" x14ac:dyDescent="0.2">
      <c r="B61" t="s">
        <v>11</v>
      </c>
      <c r="C61" s="2">
        <v>31</v>
      </c>
      <c r="D61" t="s">
        <v>12</v>
      </c>
      <c r="E61" s="2">
        <v>5139893</v>
      </c>
    </row>
    <row r="62" spans="2:5" x14ac:dyDescent="0.2">
      <c r="B62" t="s">
        <v>11</v>
      </c>
      <c r="C62" s="2">
        <v>31</v>
      </c>
      <c r="D62" t="s">
        <v>12</v>
      </c>
      <c r="E62" s="2">
        <v>6700667</v>
      </c>
    </row>
    <row r="63" spans="2:5" x14ac:dyDescent="0.2">
      <c r="B63" t="s">
        <v>11</v>
      </c>
      <c r="C63" s="2">
        <v>32</v>
      </c>
      <c r="D63" t="s">
        <v>12</v>
      </c>
      <c r="E63" s="2">
        <v>4227389</v>
      </c>
    </row>
    <row r="64" spans="2:5" x14ac:dyDescent="0.2">
      <c r="B64" t="s">
        <v>11</v>
      </c>
      <c r="C64" s="2">
        <v>32</v>
      </c>
      <c r="D64" t="s">
        <v>12</v>
      </c>
      <c r="E64" s="2">
        <v>4090135</v>
      </c>
    </row>
    <row r="65" spans="2:5" x14ac:dyDescent="0.2">
      <c r="B65" t="s">
        <v>11</v>
      </c>
      <c r="C65" s="2">
        <v>32</v>
      </c>
      <c r="D65" t="s">
        <v>12</v>
      </c>
      <c r="E65" s="2">
        <v>6728357</v>
      </c>
    </row>
    <row r="66" spans="2:5" x14ac:dyDescent="0.2">
      <c r="B66" t="s">
        <v>11</v>
      </c>
      <c r="C66" s="2">
        <v>33</v>
      </c>
      <c r="D66" t="s">
        <v>12</v>
      </c>
      <c r="E66" s="2">
        <v>4538381</v>
      </c>
    </row>
    <row r="67" spans="2:5" x14ac:dyDescent="0.2">
      <c r="B67" t="s">
        <v>11</v>
      </c>
      <c r="C67" s="2">
        <v>33</v>
      </c>
      <c r="D67" t="s">
        <v>12</v>
      </c>
      <c r="E67" s="2">
        <v>4983800</v>
      </c>
    </row>
    <row r="68" spans="2:5" x14ac:dyDescent="0.2">
      <c r="B68" t="s">
        <v>11</v>
      </c>
      <c r="C68" s="2">
        <v>35</v>
      </c>
      <c r="D68" t="s">
        <v>12</v>
      </c>
      <c r="E68" s="2">
        <v>4468417</v>
      </c>
    </row>
    <row r="69" spans="2:5" x14ac:dyDescent="0.2">
      <c r="B69" t="s">
        <v>11</v>
      </c>
      <c r="C69" s="2">
        <v>35</v>
      </c>
      <c r="D69" t="s">
        <v>12</v>
      </c>
      <c r="E69" s="2">
        <v>4994523</v>
      </c>
    </row>
    <row r="70" spans="2:5" x14ac:dyDescent="0.2">
      <c r="B70" t="s">
        <v>11</v>
      </c>
      <c r="C70" s="2">
        <v>36</v>
      </c>
      <c r="D70" t="s">
        <v>12</v>
      </c>
      <c r="E70" s="2">
        <v>5201699</v>
      </c>
    </row>
    <row r="71" spans="2:5" x14ac:dyDescent="0.2">
      <c r="B71" t="s">
        <v>11</v>
      </c>
      <c r="C71" s="2">
        <v>36</v>
      </c>
      <c r="D71" t="s">
        <v>12</v>
      </c>
      <c r="E71" s="2">
        <v>8132210</v>
      </c>
    </row>
    <row r="72" spans="2:5" x14ac:dyDescent="0.2">
      <c r="B72" t="s">
        <v>11</v>
      </c>
      <c r="C72" s="2">
        <v>36</v>
      </c>
      <c r="D72" t="s">
        <v>12</v>
      </c>
      <c r="E72" s="2">
        <v>5578495</v>
      </c>
    </row>
    <row r="73" spans="2:5" x14ac:dyDescent="0.2">
      <c r="B73" t="s">
        <v>11</v>
      </c>
      <c r="C73" s="2">
        <v>37</v>
      </c>
      <c r="D73" t="s">
        <v>12</v>
      </c>
      <c r="E73" s="2">
        <v>8944416</v>
      </c>
    </row>
    <row r="74" spans="2:5" x14ac:dyDescent="0.2">
      <c r="B74" t="s">
        <v>11</v>
      </c>
      <c r="C74" s="2">
        <v>37</v>
      </c>
      <c r="D74" t="s">
        <v>12</v>
      </c>
      <c r="E74" s="2">
        <v>4965271</v>
      </c>
    </row>
    <row r="75" spans="2:5" x14ac:dyDescent="0.2">
      <c r="B75" t="s">
        <v>11</v>
      </c>
      <c r="C75" s="2">
        <v>37</v>
      </c>
      <c r="D75" t="s">
        <v>12</v>
      </c>
      <c r="E75" s="2">
        <v>6059072</v>
      </c>
    </row>
    <row r="76" spans="2:5" x14ac:dyDescent="0.2">
      <c r="B76" t="s">
        <v>11</v>
      </c>
      <c r="C76" s="2">
        <v>38</v>
      </c>
      <c r="D76" t="s">
        <v>12</v>
      </c>
      <c r="E76" s="2">
        <v>32267857</v>
      </c>
    </row>
    <row r="77" spans="2:5" x14ac:dyDescent="0.2">
      <c r="B77" t="s">
        <v>11</v>
      </c>
      <c r="C77" s="2">
        <v>38</v>
      </c>
      <c r="D77" t="s">
        <v>12</v>
      </c>
      <c r="E77" s="2">
        <v>14081520</v>
      </c>
    </row>
    <row r="78" spans="2:5" x14ac:dyDescent="0.2">
      <c r="B78" t="s">
        <v>11</v>
      </c>
      <c r="C78" s="2">
        <v>39</v>
      </c>
      <c r="D78" t="s">
        <v>12</v>
      </c>
      <c r="E78" s="2">
        <v>38872063</v>
      </c>
    </row>
    <row r="79" spans="2:5" x14ac:dyDescent="0.2">
      <c r="B79" t="s">
        <v>11</v>
      </c>
      <c r="C79" s="2">
        <v>39</v>
      </c>
      <c r="D79" t="s">
        <v>12</v>
      </c>
      <c r="E79" s="2">
        <v>4640358</v>
      </c>
    </row>
    <row r="80" spans="2:5" x14ac:dyDescent="0.2">
      <c r="B80" t="s">
        <v>11</v>
      </c>
      <c r="C80" s="2">
        <v>39</v>
      </c>
      <c r="D80" t="s">
        <v>12</v>
      </c>
      <c r="E80" s="2">
        <v>5089282</v>
      </c>
    </row>
    <row r="81" spans="2:5" x14ac:dyDescent="0.2">
      <c r="B81" t="s">
        <v>11</v>
      </c>
      <c r="C81" s="2">
        <v>39</v>
      </c>
      <c r="D81" t="s">
        <v>12</v>
      </c>
      <c r="E81" s="2">
        <v>43768952</v>
      </c>
    </row>
    <row r="82" spans="2:5" x14ac:dyDescent="0.2">
      <c r="B82" t="s">
        <v>11</v>
      </c>
      <c r="C82" s="2">
        <v>39</v>
      </c>
      <c r="D82" t="s">
        <v>12</v>
      </c>
      <c r="E82" s="2">
        <v>6776418</v>
      </c>
    </row>
    <row r="83" spans="2:5" x14ac:dyDescent="0.2">
      <c r="B83" t="s">
        <v>11</v>
      </c>
      <c r="C83" s="2">
        <v>40</v>
      </c>
      <c r="D83" t="s">
        <v>12</v>
      </c>
      <c r="E83" s="2">
        <v>7189254</v>
      </c>
    </row>
    <row r="84" spans="2:5" x14ac:dyDescent="0.2">
      <c r="B84" t="s">
        <v>11</v>
      </c>
      <c r="C84" s="2">
        <v>40</v>
      </c>
      <c r="D84" t="s">
        <v>12</v>
      </c>
      <c r="E84" s="2">
        <v>4865009</v>
      </c>
    </row>
    <row r="85" spans="2:5" x14ac:dyDescent="0.2">
      <c r="B85" t="s">
        <v>11</v>
      </c>
      <c r="C85" s="2">
        <v>40</v>
      </c>
      <c r="D85" t="s">
        <v>12</v>
      </c>
      <c r="E85" s="2">
        <v>6745192</v>
      </c>
    </row>
    <row r="86" spans="2:5" x14ac:dyDescent="0.2">
      <c r="B86" t="s">
        <v>11</v>
      </c>
      <c r="C86" s="2">
        <v>41</v>
      </c>
      <c r="D86" t="s">
        <v>12</v>
      </c>
      <c r="E86" s="2">
        <v>4496251</v>
      </c>
    </row>
    <row r="87" spans="2:5" x14ac:dyDescent="0.2">
      <c r="B87" t="s">
        <v>11</v>
      </c>
      <c r="C87" s="2">
        <v>41</v>
      </c>
      <c r="D87" t="s">
        <v>12</v>
      </c>
      <c r="E87" s="2">
        <v>4873559</v>
      </c>
    </row>
    <row r="88" spans="2:5" x14ac:dyDescent="0.2">
      <c r="B88" t="s">
        <v>11</v>
      </c>
      <c r="C88" s="2">
        <v>44</v>
      </c>
      <c r="D88" t="s">
        <v>12</v>
      </c>
      <c r="E88" s="2">
        <v>8890797</v>
      </c>
    </row>
    <row r="89" spans="2:5" x14ac:dyDescent="0.2">
      <c r="B89" t="s">
        <v>11</v>
      </c>
      <c r="C89" s="2">
        <v>44</v>
      </c>
      <c r="D89" t="s">
        <v>12</v>
      </c>
      <c r="E89" s="2">
        <v>4721966</v>
      </c>
    </row>
    <row r="90" spans="2:5" x14ac:dyDescent="0.2">
      <c r="B90" t="s">
        <v>11</v>
      </c>
      <c r="C90" s="2">
        <v>45</v>
      </c>
      <c r="D90" t="s">
        <v>12</v>
      </c>
      <c r="E90" s="2">
        <v>4527429</v>
      </c>
    </row>
    <row r="91" spans="2:5" x14ac:dyDescent="0.2">
      <c r="B91" t="s">
        <v>11</v>
      </c>
      <c r="C91" s="2">
        <v>45</v>
      </c>
      <c r="D91" t="s">
        <v>12</v>
      </c>
      <c r="E91" s="2">
        <v>4599057</v>
      </c>
    </row>
    <row r="92" spans="2:5" x14ac:dyDescent="0.2">
      <c r="B92" t="s">
        <v>11</v>
      </c>
      <c r="C92" s="2">
        <v>45</v>
      </c>
      <c r="D92" t="s">
        <v>12</v>
      </c>
      <c r="E92" s="2">
        <v>5337580</v>
      </c>
    </row>
    <row r="93" spans="2:5" x14ac:dyDescent="0.2">
      <c r="B93" t="s">
        <v>11</v>
      </c>
      <c r="C93" s="2">
        <v>45</v>
      </c>
      <c r="D93" t="s">
        <v>12</v>
      </c>
      <c r="E93" s="2">
        <v>10857438</v>
      </c>
    </row>
    <row r="94" spans="2:5" x14ac:dyDescent="0.2">
      <c r="B94" t="s">
        <v>11</v>
      </c>
      <c r="C94" s="2">
        <v>45</v>
      </c>
      <c r="D94" t="s">
        <v>12</v>
      </c>
      <c r="E94" s="2">
        <v>4362257</v>
      </c>
    </row>
    <row r="95" spans="2:5" x14ac:dyDescent="0.2">
      <c r="B95" t="s">
        <v>11</v>
      </c>
      <c r="C95" s="2">
        <v>46</v>
      </c>
      <c r="D95" t="s">
        <v>12</v>
      </c>
      <c r="E95" s="2">
        <v>4757776</v>
      </c>
    </row>
    <row r="96" spans="2:5" x14ac:dyDescent="0.2">
      <c r="B96" t="s">
        <v>11</v>
      </c>
      <c r="C96" s="2">
        <v>46</v>
      </c>
      <c r="D96" t="s">
        <v>12</v>
      </c>
      <c r="E96" s="2">
        <v>6182621</v>
      </c>
    </row>
    <row r="97" spans="2:5" x14ac:dyDescent="0.2">
      <c r="B97" t="s">
        <v>11</v>
      </c>
      <c r="C97" s="2">
        <v>46</v>
      </c>
      <c r="D97" t="s">
        <v>12</v>
      </c>
      <c r="E97" s="2">
        <v>37100279</v>
      </c>
    </row>
    <row r="98" spans="2:5" x14ac:dyDescent="0.2">
      <c r="B98" t="s">
        <v>11</v>
      </c>
      <c r="C98" s="2">
        <v>47</v>
      </c>
      <c r="D98" t="s">
        <v>12</v>
      </c>
      <c r="E98" s="2">
        <v>7797889</v>
      </c>
    </row>
    <row r="99" spans="2:5" x14ac:dyDescent="0.2">
      <c r="B99" t="s">
        <v>11</v>
      </c>
      <c r="C99" s="2">
        <v>47</v>
      </c>
      <c r="D99" t="s">
        <v>12</v>
      </c>
      <c r="E99" s="2">
        <v>10319154</v>
      </c>
    </row>
    <row r="100" spans="2:5" x14ac:dyDescent="0.2">
      <c r="B100" t="s">
        <v>11</v>
      </c>
      <c r="C100" s="2">
        <v>48</v>
      </c>
      <c r="D100" t="s">
        <v>12</v>
      </c>
      <c r="E100" s="2">
        <v>5144560</v>
      </c>
    </row>
    <row r="101" spans="2:5" x14ac:dyDescent="0.2">
      <c r="B101" t="s">
        <v>11</v>
      </c>
      <c r="C101" s="2">
        <v>48</v>
      </c>
      <c r="D101" t="s">
        <v>12</v>
      </c>
      <c r="E101" s="2">
        <v>5422099</v>
      </c>
    </row>
    <row r="102" spans="2:5" x14ac:dyDescent="0.2">
      <c r="B102" t="s">
        <v>11</v>
      </c>
      <c r="C102" s="2">
        <v>48</v>
      </c>
      <c r="D102" t="s">
        <v>12</v>
      </c>
      <c r="E102" s="2">
        <v>6049845</v>
      </c>
    </row>
    <row r="103" spans="2:5" x14ac:dyDescent="0.2">
      <c r="B103" t="s">
        <v>11</v>
      </c>
      <c r="C103" s="2">
        <v>48</v>
      </c>
      <c r="D103" t="s">
        <v>12</v>
      </c>
      <c r="E103" s="2">
        <v>4896489</v>
      </c>
    </row>
    <row r="104" spans="2:5" x14ac:dyDescent="0.2">
      <c r="B104" t="s">
        <v>11</v>
      </c>
      <c r="C104" s="2">
        <v>50</v>
      </c>
      <c r="D104" t="s">
        <v>12</v>
      </c>
      <c r="E104" s="2">
        <v>6225164</v>
      </c>
    </row>
    <row r="105" spans="2:5" x14ac:dyDescent="0.2">
      <c r="B105" t="s">
        <v>11</v>
      </c>
      <c r="C105" s="2">
        <v>50</v>
      </c>
      <c r="D105" t="s">
        <v>12</v>
      </c>
      <c r="E105" s="2">
        <v>4459262</v>
      </c>
    </row>
    <row r="106" spans="2:5" x14ac:dyDescent="0.2">
      <c r="B106" t="s">
        <v>11</v>
      </c>
      <c r="C106" s="2">
        <v>51</v>
      </c>
      <c r="D106" t="s">
        <v>12</v>
      </c>
      <c r="E106" s="2">
        <v>7522172</v>
      </c>
    </row>
    <row r="107" spans="2:5" x14ac:dyDescent="0.2">
      <c r="B107" t="s">
        <v>11</v>
      </c>
      <c r="C107" s="2">
        <v>51</v>
      </c>
      <c r="D107" t="s">
        <v>12</v>
      </c>
      <c r="E107" s="2">
        <v>5099792</v>
      </c>
    </row>
    <row r="108" spans="2:5" x14ac:dyDescent="0.2">
      <c r="B108" t="s">
        <v>11</v>
      </c>
      <c r="C108" s="2">
        <v>51</v>
      </c>
      <c r="D108" t="s">
        <v>12</v>
      </c>
      <c r="E108" s="2">
        <v>4017612</v>
      </c>
    </row>
    <row r="109" spans="2:5" x14ac:dyDescent="0.2">
      <c r="B109" t="s">
        <v>11</v>
      </c>
      <c r="C109" s="2">
        <v>51</v>
      </c>
      <c r="D109" t="s">
        <v>12</v>
      </c>
      <c r="E109" s="2">
        <v>4784523</v>
      </c>
    </row>
    <row r="110" spans="2:5" x14ac:dyDescent="0.2">
      <c r="B110" t="s">
        <v>11</v>
      </c>
      <c r="C110" s="2">
        <v>53</v>
      </c>
      <c r="D110" t="s">
        <v>12</v>
      </c>
      <c r="E110" s="2">
        <v>4434632</v>
      </c>
    </row>
    <row r="111" spans="2:5" x14ac:dyDescent="0.2">
      <c r="B111" t="s">
        <v>11</v>
      </c>
      <c r="C111" s="2">
        <v>53</v>
      </c>
      <c r="D111" t="s">
        <v>12</v>
      </c>
      <c r="E111" s="2">
        <v>5797663</v>
      </c>
    </row>
    <row r="112" spans="2:5" x14ac:dyDescent="0.2">
      <c r="B112" t="s">
        <v>11</v>
      </c>
      <c r="C112" s="2">
        <v>53</v>
      </c>
      <c r="D112" t="s">
        <v>12</v>
      </c>
      <c r="E112" s="2">
        <v>12345468</v>
      </c>
    </row>
    <row r="113" spans="2:5" x14ac:dyDescent="0.2">
      <c r="B113" t="s">
        <v>11</v>
      </c>
      <c r="C113" s="2">
        <v>54</v>
      </c>
      <c r="D113" t="s">
        <v>12</v>
      </c>
      <c r="E113" s="2">
        <v>4723356</v>
      </c>
    </row>
    <row r="114" spans="2:5" x14ac:dyDescent="0.2">
      <c r="B114" t="s">
        <v>11</v>
      </c>
      <c r="C114" s="2">
        <v>54</v>
      </c>
      <c r="D114" t="s">
        <v>12</v>
      </c>
      <c r="E114" s="2">
        <v>4584267</v>
      </c>
    </row>
    <row r="115" spans="2:5" x14ac:dyDescent="0.2">
      <c r="B115" t="s">
        <v>11</v>
      </c>
      <c r="C115" s="2">
        <v>55</v>
      </c>
      <c r="D115" t="s">
        <v>12</v>
      </c>
      <c r="E115" s="2">
        <v>4966922</v>
      </c>
    </row>
    <row r="116" spans="2:5" x14ac:dyDescent="0.2">
      <c r="B116" t="s">
        <v>11</v>
      </c>
      <c r="C116" s="2">
        <v>55</v>
      </c>
      <c r="D116" t="s">
        <v>12</v>
      </c>
      <c r="E116" s="2">
        <v>4215566</v>
      </c>
    </row>
    <row r="117" spans="2:5" x14ac:dyDescent="0.2">
      <c r="B117" t="s">
        <v>11</v>
      </c>
      <c r="C117" s="2">
        <v>55</v>
      </c>
      <c r="D117" t="s">
        <v>12</v>
      </c>
      <c r="E117" s="2">
        <v>8247732</v>
      </c>
    </row>
    <row r="118" spans="2:5" x14ac:dyDescent="0.2">
      <c r="B118" t="s">
        <v>11</v>
      </c>
      <c r="C118" s="2">
        <v>57</v>
      </c>
      <c r="D118" t="s">
        <v>12</v>
      </c>
      <c r="E118" s="2">
        <v>4214062</v>
      </c>
    </row>
    <row r="119" spans="2:5" x14ac:dyDescent="0.2">
      <c r="B119" t="s">
        <v>11</v>
      </c>
      <c r="C119" s="2">
        <v>57</v>
      </c>
      <c r="D119" t="s">
        <v>12</v>
      </c>
      <c r="E119" s="2">
        <v>4204270</v>
      </c>
    </row>
    <row r="120" spans="2:5" x14ac:dyDescent="0.2">
      <c r="B120" t="s">
        <v>11</v>
      </c>
      <c r="C120" s="2">
        <v>58</v>
      </c>
      <c r="D120" t="s">
        <v>12</v>
      </c>
      <c r="E120" s="2">
        <v>5880646</v>
      </c>
    </row>
    <row r="121" spans="2:5" x14ac:dyDescent="0.2">
      <c r="B121" t="s">
        <v>11</v>
      </c>
      <c r="C121" s="2">
        <v>59</v>
      </c>
      <c r="D121" t="s">
        <v>12</v>
      </c>
      <c r="E121" s="2">
        <v>4438505</v>
      </c>
    </row>
    <row r="122" spans="2:5" x14ac:dyDescent="0.2">
      <c r="B122" t="s">
        <v>11</v>
      </c>
      <c r="C122" s="2">
        <v>60</v>
      </c>
      <c r="D122" t="s">
        <v>12</v>
      </c>
      <c r="E122" s="2">
        <v>15308929</v>
      </c>
    </row>
    <row r="123" spans="2:5" x14ac:dyDescent="0.2">
      <c r="B123" t="s">
        <v>11</v>
      </c>
      <c r="C123" s="2">
        <v>60</v>
      </c>
      <c r="D123" t="s">
        <v>12</v>
      </c>
      <c r="E123" s="2">
        <v>4129326</v>
      </c>
    </row>
    <row r="124" spans="2:5" x14ac:dyDescent="0.2">
      <c r="B124" t="s">
        <v>11</v>
      </c>
      <c r="C124" s="2">
        <v>60</v>
      </c>
      <c r="D124" t="s">
        <v>12</v>
      </c>
      <c r="E124" s="2">
        <v>6099154</v>
      </c>
    </row>
    <row r="125" spans="2:5" x14ac:dyDescent="0.2">
      <c r="B125" t="s">
        <v>11</v>
      </c>
      <c r="C125" s="2">
        <v>60</v>
      </c>
      <c r="D125" t="s">
        <v>12</v>
      </c>
      <c r="E125" s="2">
        <v>7637584</v>
      </c>
    </row>
    <row r="126" spans="2:5" x14ac:dyDescent="0.2">
      <c r="B126" t="s">
        <v>11</v>
      </c>
      <c r="C126" s="2">
        <v>61</v>
      </c>
      <c r="D126" t="s">
        <v>12</v>
      </c>
      <c r="E126" s="2">
        <v>4939357</v>
      </c>
    </row>
    <row r="127" spans="2:5" x14ac:dyDescent="0.2">
      <c r="B127" t="s">
        <v>11</v>
      </c>
      <c r="C127" s="2">
        <v>61</v>
      </c>
      <c r="D127" t="s">
        <v>12</v>
      </c>
      <c r="E127" s="2">
        <v>15922434</v>
      </c>
    </row>
    <row r="128" spans="2:5" x14ac:dyDescent="0.2">
      <c r="B128" t="s">
        <v>11</v>
      </c>
      <c r="C128" s="2">
        <v>62</v>
      </c>
      <c r="D128" t="s">
        <v>12</v>
      </c>
      <c r="E128" s="2">
        <v>40410772</v>
      </c>
    </row>
    <row r="129" spans="2:5" x14ac:dyDescent="0.2">
      <c r="B129" t="s">
        <v>11</v>
      </c>
      <c r="C129" s="2">
        <v>62</v>
      </c>
      <c r="D129" t="s">
        <v>12</v>
      </c>
      <c r="E129" s="2">
        <v>9767914</v>
      </c>
    </row>
    <row r="130" spans="2:5" x14ac:dyDescent="0.2">
      <c r="B130" t="s">
        <v>11</v>
      </c>
      <c r="C130" s="2">
        <v>63</v>
      </c>
      <c r="D130" t="s">
        <v>12</v>
      </c>
      <c r="E130" s="2">
        <v>4563733</v>
      </c>
    </row>
    <row r="131" spans="2:5" x14ac:dyDescent="0.2">
      <c r="B131" t="s">
        <v>11</v>
      </c>
      <c r="C131" s="2">
        <v>63</v>
      </c>
      <c r="D131" t="s">
        <v>12</v>
      </c>
      <c r="E131" s="2">
        <v>20857463</v>
      </c>
    </row>
    <row r="132" spans="2:5" x14ac:dyDescent="0.2">
      <c r="B132" t="s">
        <v>11</v>
      </c>
      <c r="C132" s="2">
        <v>64</v>
      </c>
      <c r="D132" t="s">
        <v>12</v>
      </c>
      <c r="E132" s="2">
        <v>5368889</v>
      </c>
    </row>
    <row r="133" spans="2:5" x14ac:dyDescent="0.2">
      <c r="B133" t="s">
        <v>11</v>
      </c>
      <c r="C133" s="2">
        <v>64</v>
      </c>
      <c r="D133" t="s">
        <v>12</v>
      </c>
      <c r="E133" s="2">
        <v>5474996</v>
      </c>
    </row>
    <row r="134" spans="2:5" x14ac:dyDescent="0.2">
      <c r="B134" t="s">
        <v>11</v>
      </c>
      <c r="C134" s="2">
        <v>64</v>
      </c>
      <c r="D134" t="s">
        <v>12</v>
      </c>
      <c r="E134" s="2">
        <v>4877627</v>
      </c>
    </row>
    <row r="135" spans="2:5" x14ac:dyDescent="0.2">
      <c r="B135" t="s">
        <v>11</v>
      </c>
      <c r="C135" s="2">
        <v>64</v>
      </c>
      <c r="D135" t="s">
        <v>12</v>
      </c>
      <c r="E135" s="2">
        <v>9983978</v>
      </c>
    </row>
    <row r="136" spans="2:5" x14ac:dyDescent="0.2">
      <c r="B136" t="s">
        <v>11</v>
      </c>
      <c r="C136" s="2">
        <v>66</v>
      </c>
      <c r="D136" t="s">
        <v>12</v>
      </c>
      <c r="E136" s="2">
        <v>6318639</v>
      </c>
    </row>
    <row r="137" spans="2:5" x14ac:dyDescent="0.2">
      <c r="B137" t="s">
        <v>11</v>
      </c>
      <c r="C137" s="2">
        <v>66</v>
      </c>
      <c r="D137" t="s">
        <v>12</v>
      </c>
      <c r="E137" s="2">
        <v>47055886</v>
      </c>
    </row>
    <row r="138" spans="2:5" x14ac:dyDescent="0.2">
      <c r="B138" t="s">
        <v>11</v>
      </c>
      <c r="C138" s="2">
        <v>66</v>
      </c>
      <c r="D138" t="s">
        <v>12</v>
      </c>
      <c r="E138" s="2">
        <v>4878778</v>
      </c>
    </row>
    <row r="139" spans="2:5" x14ac:dyDescent="0.2">
      <c r="B139" t="s">
        <v>11</v>
      </c>
      <c r="C139" s="2">
        <v>67</v>
      </c>
      <c r="D139" t="s">
        <v>12</v>
      </c>
      <c r="E139" s="2">
        <v>4451686</v>
      </c>
    </row>
    <row r="140" spans="2:5" x14ac:dyDescent="0.2">
      <c r="B140" t="s">
        <v>11</v>
      </c>
      <c r="C140" s="2">
        <v>67</v>
      </c>
      <c r="D140" t="s">
        <v>12</v>
      </c>
      <c r="E140" s="2">
        <v>4398689</v>
      </c>
    </row>
    <row r="141" spans="2:5" x14ac:dyDescent="0.2">
      <c r="B141" t="s">
        <v>11</v>
      </c>
      <c r="C141" s="2">
        <v>67</v>
      </c>
      <c r="D141" t="s">
        <v>12</v>
      </c>
      <c r="E141" s="2">
        <v>4979187</v>
      </c>
    </row>
    <row r="142" spans="2:5" x14ac:dyDescent="0.2">
      <c r="B142" t="s">
        <v>11</v>
      </c>
      <c r="C142" s="2">
        <v>68</v>
      </c>
      <c r="D142" t="s">
        <v>12</v>
      </c>
      <c r="E142" s="2">
        <v>4159022</v>
      </c>
    </row>
    <row r="143" spans="2:5" x14ac:dyDescent="0.2">
      <c r="B143" t="s">
        <v>11</v>
      </c>
      <c r="C143" s="2">
        <v>68</v>
      </c>
      <c r="D143" t="s">
        <v>12</v>
      </c>
      <c r="E143" s="2">
        <v>4205266</v>
      </c>
    </row>
    <row r="144" spans="2:5" x14ac:dyDescent="0.2">
      <c r="B144" t="s">
        <v>11</v>
      </c>
      <c r="C144" s="2">
        <v>68</v>
      </c>
      <c r="D144" t="s">
        <v>12</v>
      </c>
      <c r="E144" s="2">
        <v>6316857</v>
      </c>
    </row>
    <row r="145" spans="2:5" x14ac:dyDescent="0.2">
      <c r="B145" t="s">
        <v>11</v>
      </c>
      <c r="C145" s="2">
        <v>69</v>
      </c>
      <c r="D145" t="s">
        <v>12</v>
      </c>
      <c r="E145" s="2">
        <v>4708641</v>
      </c>
    </row>
    <row r="146" spans="2:5" x14ac:dyDescent="0.2">
      <c r="B146" t="s">
        <v>11</v>
      </c>
      <c r="C146" s="2">
        <v>69</v>
      </c>
      <c r="D146" t="s">
        <v>12</v>
      </c>
      <c r="E146" s="2">
        <v>4588505</v>
      </c>
    </row>
    <row r="147" spans="2:5" x14ac:dyDescent="0.2">
      <c r="B147" t="s">
        <v>11</v>
      </c>
      <c r="C147" s="2">
        <v>69</v>
      </c>
      <c r="D147" t="s">
        <v>12</v>
      </c>
      <c r="E147" s="2">
        <v>5498123</v>
      </c>
    </row>
    <row r="148" spans="2:5" x14ac:dyDescent="0.2">
      <c r="B148" t="s">
        <v>11</v>
      </c>
      <c r="C148" s="2">
        <v>69</v>
      </c>
      <c r="D148" t="s">
        <v>12</v>
      </c>
      <c r="E148" s="2">
        <v>5666426</v>
      </c>
    </row>
    <row r="149" spans="2:5" x14ac:dyDescent="0.2">
      <c r="B149" t="s">
        <v>11</v>
      </c>
      <c r="C149" s="2">
        <v>69</v>
      </c>
      <c r="D149" t="s">
        <v>12</v>
      </c>
      <c r="E149" s="2">
        <v>23614740</v>
      </c>
    </row>
    <row r="150" spans="2:5" x14ac:dyDescent="0.2">
      <c r="B150" t="s">
        <v>11</v>
      </c>
      <c r="C150" s="2">
        <v>70</v>
      </c>
      <c r="D150" t="s">
        <v>12</v>
      </c>
      <c r="E150" s="2">
        <v>4854855</v>
      </c>
    </row>
    <row r="151" spans="2:5" x14ac:dyDescent="0.2">
      <c r="B151" t="s">
        <v>11</v>
      </c>
      <c r="C151" s="2">
        <v>70</v>
      </c>
      <c r="D151" t="s">
        <v>12</v>
      </c>
      <c r="E151" s="2">
        <v>4232249</v>
      </c>
    </row>
    <row r="152" spans="2:5" x14ac:dyDescent="0.2">
      <c r="B152" t="s">
        <v>11</v>
      </c>
      <c r="C152" s="2">
        <v>70</v>
      </c>
      <c r="D152" t="s">
        <v>12</v>
      </c>
      <c r="E152" s="2">
        <v>6858121</v>
      </c>
    </row>
    <row r="153" spans="2:5" x14ac:dyDescent="0.2">
      <c r="B153" t="s">
        <v>11</v>
      </c>
      <c r="C153" s="2">
        <v>70</v>
      </c>
      <c r="D153" t="s">
        <v>12</v>
      </c>
      <c r="E153" s="2">
        <v>5426022</v>
      </c>
    </row>
    <row r="154" spans="2:5" x14ac:dyDescent="0.2">
      <c r="B154" t="s">
        <v>11</v>
      </c>
      <c r="C154" s="2">
        <v>70</v>
      </c>
      <c r="D154" t="s">
        <v>12</v>
      </c>
      <c r="E154" s="2">
        <v>5692499</v>
      </c>
    </row>
    <row r="155" spans="2:5" x14ac:dyDescent="0.2">
      <c r="B155" t="s">
        <v>11</v>
      </c>
      <c r="C155" s="2">
        <v>71</v>
      </c>
      <c r="D155" t="s">
        <v>12</v>
      </c>
      <c r="E155" s="2">
        <v>4746303</v>
      </c>
    </row>
    <row r="156" spans="2:5" x14ac:dyDescent="0.2">
      <c r="B156" t="s">
        <v>11</v>
      </c>
      <c r="C156" s="2">
        <v>71</v>
      </c>
      <c r="D156" t="s">
        <v>12</v>
      </c>
      <c r="E156" s="2">
        <v>4955273</v>
      </c>
    </row>
    <row r="157" spans="2:5" x14ac:dyDescent="0.2">
      <c r="B157" t="s">
        <v>11</v>
      </c>
      <c r="C157" s="2">
        <v>72</v>
      </c>
      <c r="D157" t="s">
        <v>12</v>
      </c>
      <c r="E157" s="2">
        <v>4478260</v>
      </c>
    </row>
    <row r="158" spans="2:5" x14ac:dyDescent="0.2">
      <c r="B158" t="s">
        <v>11</v>
      </c>
      <c r="C158" s="2">
        <v>73</v>
      </c>
      <c r="D158" t="s">
        <v>12</v>
      </c>
      <c r="E158" s="2">
        <v>7935855</v>
      </c>
    </row>
    <row r="159" spans="2:5" x14ac:dyDescent="0.2">
      <c r="B159" t="s">
        <v>11</v>
      </c>
      <c r="C159" s="2">
        <v>73</v>
      </c>
      <c r="D159" t="s">
        <v>12</v>
      </c>
      <c r="E159" s="2">
        <v>11492623</v>
      </c>
    </row>
    <row r="160" spans="2:5" x14ac:dyDescent="0.2">
      <c r="B160" t="s">
        <v>11</v>
      </c>
      <c r="C160" s="2">
        <v>73</v>
      </c>
      <c r="D160" t="s">
        <v>12</v>
      </c>
      <c r="E160" s="2">
        <v>8165719</v>
      </c>
    </row>
    <row r="161" spans="2:5" x14ac:dyDescent="0.2">
      <c r="B161" t="s">
        <v>11</v>
      </c>
      <c r="C161" s="2">
        <v>74</v>
      </c>
      <c r="D161" t="s">
        <v>12</v>
      </c>
      <c r="E161" s="2">
        <v>6670245</v>
      </c>
    </row>
    <row r="162" spans="2:5" x14ac:dyDescent="0.2">
      <c r="B162" t="s">
        <v>11</v>
      </c>
      <c r="C162" s="2">
        <v>74</v>
      </c>
      <c r="D162" t="s">
        <v>12</v>
      </c>
      <c r="E162" s="2">
        <v>14388665</v>
      </c>
    </row>
    <row r="163" spans="2:5" x14ac:dyDescent="0.2">
      <c r="B163" t="s">
        <v>11</v>
      </c>
      <c r="C163" s="2">
        <v>74</v>
      </c>
      <c r="D163" t="s">
        <v>12</v>
      </c>
      <c r="E163" s="2">
        <v>14224297</v>
      </c>
    </row>
    <row r="164" spans="2:5" x14ac:dyDescent="0.2">
      <c r="B164" t="s">
        <v>11</v>
      </c>
      <c r="C164" s="2">
        <v>74</v>
      </c>
      <c r="D164" t="s">
        <v>12</v>
      </c>
      <c r="E164" s="2">
        <v>4473962</v>
      </c>
    </row>
    <row r="165" spans="2:5" x14ac:dyDescent="0.2">
      <c r="B165" t="s">
        <v>11</v>
      </c>
      <c r="C165" s="2">
        <v>75</v>
      </c>
      <c r="D165" t="s">
        <v>12</v>
      </c>
      <c r="E165" s="2">
        <v>6905397</v>
      </c>
    </row>
    <row r="166" spans="2:5" x14ac:dyDescent="0.2">
      <c r="B166" t="s">
        <v>11</v>
      </c>
      <c r="C166" s="2">
        <v>75</v>
      </c>
      <c r="D166" t="s">
        <v>12</v>
      </c>
      <c r="E166" s="2">
        <v>5490704</v>
      </c>
    </row>
    <row r="167" spans="2:5" x14ac:dyDescent="0.2">
      <c r="B167" t="s">
        <v>11</v>
      </c>
      <c r="C167" s="2">
        <v>75</v>
      </c>
      <c r="D167" t="s">
        <v>12</v>
      </c>
      <c r="E167" s="2">
        <v>5706594</v>
      </c>
    </row>
    <row r="168" spans="2:5" x14ac:dyDescent="0.2">
      <c r="B168" t="s">
        <v>11</v>
      </c>
      <c r="C168" s="2">
        <v>75</v>
      </c>
      <c r="D168" t="s">
        <v>12</v>
      </c>
      <c r="E168" s="2">
        <v>4334126</v>
      </c>
    </row>
    <row r="169" spans="2:5" x14ac:dyDescent="0.2">
      <c r="B169" t="s">
        <v>11</v>
      </c>
      <c r="C169" s="2">
        <v>76</v>
      </c>
      <c r="D169" t="s">
        <v>12</v>
      </c>
      <c r="E169" s="2">
        <v>13876838</v>
      </c>
    </row>
    <row r="170" spans="2:5" x14ac:dyDescent="0.2">
      <c r="B170" t="s">
        <v>11</v>
      </c>
      <c r="C170" s="2">
        <v>76</v>
      </c>
      <c r="D170" t="s">
        <v>12</v>
      </c>
      <c r="E170" s="2">
        <v>27752399</v>
      </c>
    </row>
    <row r="171" spans="2:5" x14ac:dyDescent="0.2">
      <c r="B171" t="s">
        <v>11</v>
      </c>
      <c r="C171" s="2">
        <v>76</v>
      </c>
      <c r="D171" t="s">
        <v>12</v>
      </c>
      <c r="E171" s="2">
        <v>10794735</v>
      </c>
    </row>
    <row r="172" spans="2:5" x14ac:dyDescent="0.2">
      <c r="B172" t="s">
        <v>11</v>
      </c>
      <c r="C172" s="2">
        <v>78</v>
      </c>
      <c r="D172" t="s">
        <v>12</v>
      </c>
      <c r="E172" s="2">
        <v>7579035</v>
      </c>
    </row>
    <row r="173" spans="2:5" x14ac:dyDescent="0.2">
      <c r="B173" t="s">
        <v>11</v>
      </c>
      <c r="C173" s="2">
        <v>78</v>
      </c>
      <c r="D173" t="s">
        <v>12</v>
      </c>
      <c r="E173" s="2">
        <v>8457605</v>
      </c>
    </row>
    <row r="174" spans="2:5" x14ac:dyDescent="0.2">
      <c r="B174" t="s">
        <v>11</v>
      </c>
      <c r="C174" s="2">
        <v>78</v>
      </c>
      <c r="D174" t="s">
        <v>12</v>
      </c>
      <c r="E174" s="2">
        <v>22872724</v>
      </c>
    </row>
    <row r="175" spans="2:5" x14ac:dyDescent="0.2">
      <c r="B175" t="s">
        <v>11</v>
      </c>
      <c r="C175" s="2">
        <v>79</v>
      </c>
      <c r="D175" t="s">
        <v>12</v>
      </c>
      <c r="E175" s="2">
        <v>9887283</v>
      </c>
    </row>
    <row r="176" spans="2:5" x14ac:dyDescent="0.2">
      <c r="B176" t="s">
        <v>11</v>
      </c>
      <c r="C176" s="2">
        <v>80</v>
      </c>
      <c r="D176" t="s">
        <v>12</v>
      </c>
      <c r="E176" s="2">
        <v>16672768</v>
      </c>
    </row>
    <row r="177" spans="2:5" x14ac:dyDescent="0.2">
      <c r="B177" t="s">
        <v>11</v>
      </c>
      <c r="C177" s="2">
        <v>81</v>
      </c>
      <c r="D177" t="s">
        <v>12</v>
      </c>
      <c r="E177" s="2">
        <v>4887339</v>
      </c>
    </row>
    <row r="178" spans="2:5" x14ac:dyDescent="0.2">
      <c r="B178" t="s">
        <v>11</v>
      </c>
      <c r="C178" s="2">
        <v>81</v>
      </c>
      <c r="D178" t="s">
        <v>12</v>
      </c>
      <c r="E178" s="2">
        <v>8803212</v>
      </c>
    </row>
    <row r="179" spans="2:5" x14ac:dyDescent="0.2">
      <c r="B179" t="s">
        <v>11</v>
      </c>
      <c r="C179" s="2">
        <v>81</v>
      </c>
      <c r="D179" t="s">
        <v>12</v>
      </c>
      <c r="E179" s="2">
        <v>4389258</v>
      </c>
    </row>
    <row r="180" spans="2:5" x14ac:dyDescent="0.2">
      <c r="B180" t="s">
        <v>11</v>
      </c>
      <c r="C180" s="2">
        <v>82</v>
      </c>
      <c r="D180" t="s">
        <v>12</v>
      </c>
      <c r="E180" s="2">
        <v>5258771</v>
      </c>
    </row>
    <row r="181" spans="2:5" x14ac:dyDescent="0.2">
      <c r="B181" t="s">
        <v>11</v>
      </c>
      <c r="C181" s="2">
        <v>83</v>
      </c>
      <c r="D181" t="s">
        <v>12</v>
      </c>
      <c r="E181" s="2">
        <v>4927486</v>
      </c>
    </row>
    <row r="182" spans="2:5" x14ac:dyDescent="0.2">
      <c r="B182" t="s">
        <v>11</v>
      </c>
      <c r="C182" s="2">
        <v>85</v>
      </c>
      <c r="D182" t="s">
        <v>12</v>
      </c>
      <c r="E182" s="2">
        <v>5278701</v>
      </c>
    </row>
    <row r="183" spans="2:5" x14ac:dyDescent="0.2">
      <c r="B183" t="s">
        <v>11</v>
      </c>
      <c r="C183" s="2">
        <v>85</v>
      </c>
      <c r="D183" t="s">
        <v>12</v>
      </c>
      <c r="E183" s="2">
        <v>9566591</v>
      </c>
    </row>
    <row r="184" spans="2:5" x14ac:dyDescent="0.2">
      <c r="B184" t="s">
        <v>11</v>
      </c>
      <c r="C184" s="2">
        <v>86</v>
      </c>
      <c r="D184" t="s">
        <v>12</v>
      </c>
      <c r="E184" s="2">
        <v>6168293</v>
      </c>
    </row>
    <row r="185" spans="2:5" x14ac:dyDescent="0.2">
      <c r="B185" t="s">
        <v>11</v>
      </c>
      <c r="C185" s="2">
        <v>86</v>
      </c>
      <c r="D185" t="s">
        <v>12</v>
      </c>
      <c r="E185" s="2">
        <v>6763690</v>
      </c>
    </row>
    <row r="186" spans="2:5" x14ac:dyDescent="0.2">
      <c r="B186" t="s">
        <v>11</v>
      </c>
      <c r="C186" s="2">
        <v>86</v>
      </c>
      <c r="D186" t="s">
        <v>12</v>
      </c>
      <c r="E186" s="2">
        <v>8673677</v>
      </c>
    </row>
    <row r="187" spans="2:5" x14ac:dyDescent="0.2">
      <c r="B187" t="s">
        <v>11</v>
      </c>
      <c r="C187" s="2">
        <v>87</v>
      </c>
      <c r="D187" t="s">
        <v>12</v>
      </c>
      <c r="E187" s="2">
        <v>10844503</v>
      </c>
    </row>
    <row r="188" spans="2:5" x14ac:dyDescent="0.2">
      <c r="B188" t="s">
        <v>11</v>
      </c>
      <c r="C188" s="2">
        <v>87</v>
      </c>
      <c r="D188" t="s">
        <v>12</v>
      </c>
      <c r="E188" s="2">
        <v>4390543</v>
      </c>
    </row>
    <row r="189" spans="2:5" x14ac:dyDescent="0.2">
      <c r="B189" t="s">
        <v>11</v>
      </c>
      <c r="C189" s="2">
        <v>89</v>
      </c>
      <c r="D189" t="s">
        <v>12</v>
      </c>
      <c r="E189" s="2">
        <v>6788412</v>
      </c>
    </row>
    <row r="190" spans="2:5" x14ac:dyDescent="0.2">
      <c r="B190" t="s">
        <v>11</v>
      </c>
      <c r="C190" s="2">
        <v>89</v>
      </c>
      <c r="D190" t="s">
        <v>12</v>
      </c>
      <c r="E190" s="2">
        <v>4735981</v>
      </c>
    </row>
    <row r="191" spans="2:5" x14ac:dyDescent="0.2">
      <c r="B191" t="s">
        <v>11</v>
      </c>
      <c r="C191" s="2">
        <v>89</v>
      </c>
      <c r="D191" t="s">
        <v>12</v>
      </c>
      <c r="E191" s="2">
        <v>4864588</v>
      </c>
    </row>
    <row r="192" spans="2:5" x14ac:dyDescent="0.2">
      <c r="B192" t="s">
        <v>11</v>
      </c>
      <c r="C192" s="2">
        <v>90</v>
      </c>
      <c r="D192" t="s">
        <v>12</v>
      </c>
      <c r="E192" s="2">
        <v>9387330</v>
      </c>
    </row>
    <row r="193" spans="2:5" x14ac:dyDescent="0.2">
      <c r="B193" t="s">
        <v>11</v>
      </c>
      <c r="C193" s="2">
        <v>90</v>
      </c>
      <c r="D193" t="s">
        <v>12</v>
      </c>
      <c r="E193" s="2">
        <v>7708215</v>
      </c>
    </row>
    <row r="194" spans="2:5" x14ac:dyDescent="0.2">
      <c r="B194" t="s">
        <v>11</v>
      </c>
      <c r="C194" s="2">
        <v>90</v>
      </c>
      <c r="D194" t="s">
        <v>12</v>
      </c>
      <c r="E194" s="2">
        <v>9281329</v>
      </c>
    </row>
    <row r="195" spans="2:5" x14ac:dyDescent="0.2">
      <c r="B195" t="s">
        <v>11</v>
      </c>
      <c r="C195" s="2">
        <v>91</v>
      </c>
      <c r="D195" t="s">
        <v>12</v>
      </c>
      <c r="E195" s="2">
        <v>4316677</v>
      </c>
    </row>
    <row r="196" spans="2:5" x14ac:dyDescent="0.2">
      <c r="B196" t="s">
        <v>11</v>
      </c>
      <c r="C196" s="2">
        <v>91</v>
      </c>
      <c r="D196" t="s">
        <v>12</v>
      </c>
      <c r="E196" s="2">
        <v>124444173</v>
      </c>
    </row>
    <row r="197" spans="2:5" x14ac:dyDescent="0.2">
      <c r="B197" t="s">
        <v>11</v>
      </c>
      <c r="C197" s="2">
        <v>92</v>
      </c>
      <c r="D197" t="s">
        <v>12</v>
      </c>
      <c r="E197" s="2">
        <v>4495052</v>
      </c>
    </row>
    <row r="198" spans="2:5" x14ac:dyDescent="0.2">
      <c r="B198" t="s">
        <v>11</v>
      </c>
      <c r="C198" s="2">
        <v>93</v>
      </c>
      <c r="D198" t="s">
        <v>12</v>
      </c>
      <c r="E198" s="2">
        <v>15426292</v>
      </c>
    </row>
    <row r="199" spans="2:5" x14ac:dyDescent="0.2">
      <c r="B199" t="s">
        <v>11</v>
      </c>
      <c r="C199" s="2">
        <v>93</v>
      </c>
      <c r="D199" t="s">
        <v>12</v>
      </c>
      <c r="E199" s="2">
        <v>11588715</v>
      </c>
    </row>
    <row r="200" spans="2:5" x14ac:dyDescent="0.2">
      <c r="B200" t="s">
        <v>11</v>
      </c>
      <c r="C200" s="2">
        <v>93</v>
      </c>
      <c r="D200" t="s">
        <v>12</v>
      </c>
      <c r="E200" s="2">
        <v>4139300</v>
      </c>
    </row>
    <row r="201" spans="2:5" x14ac:dyDescent="0.2">
      <c r="B201" t="s">
        <v>11</v>
      </c>
      <c r="C201" s="2">
        <v>94</v>
      </c>
      <c r="D201" t="s">
        <v>12</v>
      </c>
      <c r="E201" s="2">
        <v>8939831</v>
      </c>
    </row>
    <row r="202" spans="2:5" x14ac:dyDescent="0.2">
      <c r="B202" t="s">
        <v>11</v>
      </c>
      <c r="C202" s="2">
        <v>95</v>
      </c>
      <c r="D202" t="s">
        <v>12</v>
      </c>
      <c r="E202" s="2">
        <v>6420053</v>
      </c>
    </row>
    <row r="203" spans="2:5" x14ac:dyDescent="0.2">
      <c r="B203" t="s">
        <v>11</v>
      </c>
      <c r="C203" s="2">
        <v>95</v>
      </c>
      <c r="D203" t="s">
        <v>12</v>
      </c>
      <c r="E203" s="2">
        <v>12195294</v>
      </c>
    </row>
    <row r="204" spans="2:5" x14ac:dyDescent="0.2">
      <c r="B204" t="s">
        <v>11</v>
      </c>
      <c r="C204" s="2">
        <v>95</v>
      </c>
      <c r="D204" t="s">
        <v>12</v>
      </c>
      <c r="E204" s="2">
        <v>12182119</v>
      </c>
    </row>
    <row r="205" spans="2:5" x14ac:dyDescent="0.2">
      <c r="B205" t="s">
        <v>11</v>
      </c>
      <c r="C205" s="2">
        <v>96</v>
      </c>
      <c r="D205" t="s">
        <v>12</v>
      </c>
      <c r="E205" s="2">
        <v>4925578</v>
      </c>
    </row>
    <row r="206" spans="2:5" x14ac:dyDescent="0.2">
      <c r="B206" t="s">
        <v>11</v>
      </c>
      <c r="C206" s="2">
        <v>96</v>
      </c>
      <c r="D206" t="s">
        <v>12</v>
      </c>
      <c r="E206" s="2">
        <v>4900440</v>
      </c>
    </row>
    <row r="207" spans="2:5" x14ac:dyDescent="0.2">
      <c r="B207" t="s">
        <v>11</v>
      </c>
      <c r="C207" s="2">
        <v>98</v>
      </c>
      <c r="D207" t="s">
        <v>12</v>
      </c>
      <c r="E207" s="2">
        <v>24322894</v>
      </c>
    </row>
    <row r="208" spans="2:5" x14ac:dyDescent="0.2">
      <c r="B208" t="s">
        <v>11</v>
      </c>
      <c r="C208" s="2">
        <v>98</v>
      </c>
      <c r="D208" t="s">
        <v>12</v>
      </c>
      <c r="E208" s="2">
        <v>4455867</v>
      </c>
    </row>
    <row r="209" spans="2:5" x14ac:dyDescent="0.2">
      <c r="B209" t="s">
        <v>11</v>
      </c>
      <c r="C209" s="2">
        <v>98</v>
      </c>
      <c r="D209" t="s">
        <v>12</v>
      </c>
      <c r="E209" s="2">
        <v>8345880</v>
      </c>
    </row>
    <row r="210" spans="2:5" x14ac:dyDescent="0.2">
      <c r="B210" t="s">
        <v>11</v>
      </c>
      <c r="C210" s="2">
        <v>99</v>
      </c>
      <c r="D210" t="s">
        <v>12</v>
      </c>
      <c r="E210" s="2">
        <v>7406447</v>
      </c>
    </row>
    <row r="211" spans="2:5" x14ac:dyDescent="0.2">
      <c r="B211" t="s">
        <v>11</v>
      </c>
      <c r="C211" s="2">
        <v>100</v>
      </c>
      <c r="D211" t="s">
        <v>12</v>
      </c>
      <c r="E211" s="2">
        <v>22427101</v>
      </c>
    </row>
    <row r="212" spans="2:5" x14ac:dyDescent="0.2">
      <c r="B212" t="s">
        <v>11</v>
      </c>
      <c r="C212" s="2">
        <v>100</v>
      </c>
      <c r="D212" t="s">
        <v>12</v>
      </c>
      <c r="E212" s="2">
        <v>26912203</v>
      </c>
    </row>
    <row r="213" spans="2:5" x14ac:dyDescent="0.2">
      <c r="B213" t="s">
        <v>11</v>
      </c>
      <c r="C213" s="2">
        <v>100</v>
      </c>
      <c r="D213" t="s">
        <v>12</v>
      </c>
      <c r="E213" s="2">
        <v>6074066</v>
      </c>
    </row>
  </sheetData>
  <dataConsolidate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A8146-68F7-4ABA-9654-84A17F88AB0C}">
  <sheetPr>
    <tabColor theme="9" tint="0.79998168889431442"/>
  </sheetPr>
  <dimension ref="B2:AA53"/>
  <sheetViews>
    <sheetView showGridLines="0" workbookViewId="0"/>
  </sheetViews>
  <sheetFormatPr baseColWidth="10" defaultColWidth="11.42578125" defaultRowHeight="12.75" x14ac:dyDescent="0.2"/>
  <cols>
    <col min="2" max="2" width="18.42578125" bestFit="1" customWidth="1"/>
    <col min="3" max="3" width="15" bestFit="1" customWidth="1"/>
    <col min="4" max="4" width="14.28515625" bestFit="1" customWidth="1"/>
    <col min="5" max="5" width="10.5703125" customWidth="1"/>
    <col min="6" max="8" width="12.42578125" customWidth="1"/>
    <col min="9" max="27" width="14.140625" customWidth="1"/>
  </cols>
  <sheetData>
    <row r="2" spans="2:27" ht="23.25" x14ac:dyDescent="0.35">
      <c r="B2" s="1" t="s">
        <v>20</v>
      </c>
    </row>
    <row r="4" spans="2:27" x14ac:dyDescent="0.2">
      <c r="B4" s="10" t="s">
        <v>21</v>
      </c>
    </row>
    <row r="10" spans="2:27" ht="23.25" x14ac:dyDescent="0.35">
      <c r="B10" s="1" t="s">
        <v>22</v>
      </c>
    </row>
    <row r="12" spans="2:27" x14ac:dyDescent="0.2">
      <c r="B12" s="11" t="s">
        <v>23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4" spans="2:27" x14ac:dyDescent="0.2">
      <c r="B14" t="s">
        <v>24</v>
      </c>
      <c r="C14" t="s">
        <v>25</v>
      </c>
      <c r="D14" t="s">
        <v>26</v>
      </c>
      <c r="E14" t="s">
        <v>27</v>
      </c>
      <c r="F14" t="s">
        <v>28</v>
      </c>
      <c r="G14" t="s">
        <v>29</v>
      </c>
    </row>
    <row r="15" spans="2:27" x14ac:dyDescent="0.2">
      <c r="B15" s="12" t="s">
        <v>30</v>
      </c>
      <c r="C15">
        <v>1</v>
      </c>
      <c r="D15" t="s">
        <v>31</v>
      </c>
      <c r="E15" s="13">
        <v>45377</v>
      </c>
      <c r="F15">
        <v>2010</v>
      </c>
      <c r="G15">
        <v>2022</v>
      </c>
    </row>
    <row r="16" spans="2:27" x14ac:dyDescent="0.2">
      <c r="B16" s="12" t="s">
        <v>32</v>
      </c>
      <c r="C16">
        <v>2</v>
      </c>
      <c r="D16" t="s">
        <v>33</v>
      </c>
      <c r="E16" s="13">
        <v>45377</v>
      </c>
      <c r="F16">
        <v>2015</v>
      </c>
      <c r="G16">
        <v>2022</v>
      </c>
    </row>
    <row r="17" spans="2:16" x14ac:dyDescent="0.2">
      <c r="B17" s="12" t="s">
        <v>30</v>
      </c>
      <c r="C17">
        <v>3</v>
      </c>
      <c r="D17" t="s">
        <v>34</v>
      </c>
      <c r="E17" s="13">
        <v>45377</v>
      </c>
      <c r="F17">
        <v>2020</v>
      </c>
      <c r="G17">
        <v>2022</v>
      </c>
    </row>
    <row r="20" spans="2:16" x14ac:dyDescent="0.2">
      <c r="B20" t="s">
        <v>35</v>
      </c>
      <c r="C20" t="s">
        <v>36</v>
      </c>
      <c r="D20" t="s">
        <v>37</v>
      </c>
      <c r="E20" t="s">
        <v>38</v>
      </c>
      <c r="F20" t="s">
        <v>39</v>
      </c>
      <c r="G20" t="s">
        <v>40</v>
      </c>
      <c r="H20" t="s">
        <v>41</v>
      </c>
      <c r="I20" t="s">
        <v>42</v>
      </c>
      <c r="J20" t="s">
        <v>43</v>
      </c>
      <c r="K20" t="s">
        <v>44</v>
      </c>
      <c r="L20" t="s">
        <v>45</v>
      </c>
      <c r="M20" t="s">
        <v>46</v>
      </c>
      <c r="N20" t="s">
        <v>47</v>
      </c>
      <c r="O20" t="s">
        <v>48</v>
      </c>
      <c r="P20" t="s">
        <v>49</v>
      </c>
    </row>
    <row r="21" spans="2:16" x14ac:dyDescent="0.2">
      <c r="B21">
        <v>1</v>
      </c>
      <c r="C21" t="s">
        <v>50</v>
      </c>
      <c r="D21" t="s">
        <v>51</v>
      </c>
      <c r="E21" s="2">
        <v>1000000</v>
      </c>
      <c r="F21" s="2">
        <v>1000000</v>
      </c>
      <c r="G21" s="2">
        <v>1000</v>
      </c>
      <c r="H21" s="2">
        <v>1000</v>
      </c>
      <c r="I21" s="2">
        <v>1000</v>
      </c>
      <c r="J21" s="2">
        <v>700</v>
      </c>
      <c r="K21" s="2">
        <v>1400</v>
      </c>
      <c r="L21" s="14">
        <v>0.7</v>
      </c>
      <c r="M21" t="s">
        <v>52</v>
      </c>
      <c r="N21" s="15" t="s">
        <v>53</v>
      </c>
      <c r="O21" s="16">
        <v>1</v>
      </c>
      <c r="P21" s="17">
        <v>1</v>
      </c>
    </row>
    <row r="22" spans="2:16" x14ac:dyDescent="0.2">
      <c r="B22">
        <v>2</v>
      </c>
      <c r="C22" t="s">
        <v>50</v>
      </c>
      <c r="D22" t="s">
        <v>51</v>
      </c>
      <c r="E22" s="2">
        <v>1000000</v>
      </c>
      <c r="F22" s="2">
        <v>1000000</v>
      </c>
      <c r="G22" s="2">
        <v>1000</v>
      </c>
      <c r="H22" s="2">
        <v>1000</v>
      </c>
      <c r="I22" s="2">
        <v>1000</v>
      </c>
      <c r="J22" s="2">
        <v>800</v>
      </c>
      <c r="K22" s="2">
        <v>1600</v>
      </c>
      <c r="L22" s="14">
        <v>0.7</v>
      </c>
      <c r="M22" t="s">
        <v>52</v>
      </c>
      <c r="N22" s="15" t="s">
        <v>53</v>
      </c>
      <c r="O22" s="16">
        <v>1.5</v>
      </c>
      <c r="P22" s="17">
        <v>1.5</v>
      </c>
    </row>
    <row r="23" spans="2:16" x14ac:dyDescent="0.2">
      <c r="B23">
        <v>3</v>
      </c>
      <c r="C23" t="s">
        <v>50</v>
      </c>
      <c r="D23" t="s">
        <v>51</v>
      </c>
      <c r="E23" s="2">
        <v>1000000</v>
      </c>
      <c r="F23" s="2">
        <v>1000000</v>
      </c>
      <c r="G23" s="2">
        <v>1000</v>
      </c>
      <c r="H23" s="2">
        <v>1000</v>
      </c>
      <c r="I23" s="2">
        <v>1000</v>
      </c>
      <c r="J23" s="2">
        <v>900</v>
      </c>
      <c r="K23" s="2">
        <v>1800</v>
      </c>
      <c r="L23" s="14">
        <v>0.7</v>
      </c>
      <c r="M23" t="s">
        <v>52</v>
      </c>
      <c r="N23" s="15" t="s">
        <v>53</v>
      </c>
      <c r="O23" s="16">
        <v>2</v>
      </c>
      <c r="P23" s="17">
        <v>2</v>
      </c>
    </row>
    <row r="24" spans="2:16" x14ac:dyDescent="0.2">
      <c r="B24">
        <v>4</v>
      </c>
      <c r="C24" t="s">
        <v>50</v>
      </c>
      <c r="D24" t="s">
        <v>51</v>
      </c>
      <c r="E24" s="2">
        <v>1000000</v>
      </c>
      <c r="F24" s="2">
        <v>1000000</v>
      </c>
      <c r="G24" s="2">
        <v>1000</v>
      </c>
      <c r="H24" s="2">
        <v>1000</v>
      </c>
      <c r="I24" s="2">
        <v>1000</v>
      </c>
      <c r="J24" s="2">
        <v>1000</v>
      </c>
      <c r="K24" s="2">
        <v>2000</v>
      </c>
      <c r="L24" s="14">
        <v>0.7</v>
      </c>
      <c r="M24" t="s">
        <v>52</v>
      </c>
      <c r="N24" s="15" t="s">
        <v>53</v>
      </c>
      <c r="O24" s="16">
        <v>2.5</v>
      </c>
      <c r="P24" s="17">
        <v>2.5</v>
      </c>
    </row>
    <row r="25" spans="2:16" x14ac:dyDescent="0.2">
      <c r="B25">
        <v>5</v>
      </c>
      <c r="C25" t="s">
        <v>54</v>
      </c>
      <c r="D25" t="s">
        <v>51</v>
      </c>
      <c r="E25" s="2">
        <v>1000000</v>
      </c>
      <c r="F25" s="2">
        <v>1000000</v>
      </c>
      <c r="G25" s="2">
        <v>1000</v>
      </c>
      <c r="H25" s="2">
        <v>1000</v>
      </c>
      <c r="I25" s="2">
        <v>1000</v>
      </c>
      <c r="J25" s="2">
        <v>1100</v>
      </c>
      <c r="K25" s="2">
        <v>2200</v>
      </c>
      <c r="L25" s="14">
        <v>0.7</v>
      </c>
      <c r="M25" t="s">
        <v>55</v>
      </c>
      <c r="N25" s="15" t="s">
        <v>56</v>
      </c>
      <c r="O25" s="16">
        <v>3</v>
      </c>
      <c r="P25" s="17">
        <v>3</v>
      </c>
    </row>
    <row r="26" spans="2:16" x14ac:dyDescent="0.2">
      <c r="B26">
        <v>6</v>
      </c>
      <c r="C26" t="s">
        <v>54</v>
      </c>
      <c r="D26" t="s">
        <v>51</v>
      </c>
      <c r="E26" s="2">
        <v>1000000</v>
      </c>
      <c r="F26" s="2">
        <v>1000000</v>
      </c>
      <c r="G26" s="2">
        <v>1000</v>
      </c>
      <c r="H26" s="2">
        <v>1000</v>
      </c>
      <c r="I26" s="2">
        <v>1000</v>
      </c>
      <c r="J26" s="2">
        <v>1210</v>
      </c>
      <c r="K26" s="2">
        <v>2420</v>
      </c>
      <c r="L26" s="14">
        <v>0.7</v>
      </c>
      <c r="M26" t="s">
        <v>55</v>
      </c>
      <c r="N26" s="15" t="s">
        <v>56</v>
      </c>
      <c r="O26" s="16">
        <v>3.5</v>
      </c>
      <c r="P26" s="17">
        <v>3.5</v>
      </c>
    </row>
    <row r="27" spans="2:16" x14ac:dyDescent="0.2">
      <c r="B27">
        <v>7</v>
      </c>
      <c r="C27" t="s">
        <v>54</v>
      </c>
      <c r="D27" t="s">
        <v>51</v>
      </c>
      <c r="E27" s="2">
        <v>1000000</v>
      </c>
      <c r="F27" s="2">
        <v>1000000</v>
      </c>
      <c r="G27" s="2">
        <v>1000</v>
      </c>
      <c r="H27" s="2">
        <v>1000</v>
      </c>
      <c r="I27" s="2">
        <v>1000</v>
      </c>
      <c r="J27" s="2">
        <v>1331</v>
      </c>
      <c r="K27" s="2">
        <v>2662</v>
      </c>
      <c r="L27" s="14">
        <v>0.7</v>
      </c>
      <c r="M27" t="s">
        <v>55</v>
      </c>
      <c r="N27" s="15" t="s">
        <v>56</v>
      </c>
      <c r="O27" s="16">
        <v>4</v>
      </c>
      <c r="P27" s="17">
        <v>4</v>
      </c>
    </row>
    <row r="28" spans="2:16" x14ac:dyDescent="0.2">
      <c r="B28">
        <v>8</v>
      </c>
      <c r="C28" t="s">
        <v>54</v>
      </c>
      <c r="D28" t="s">
        <v>51</v>
      </c>
      <c r="E28" s="2">
        <v>1000000</v>
      </c>
      <c r="F28" s="2">
        <v>1000000</v>
      </c>
      <c r="G28" s="2">
        <v>1000</v>
      </c>
      <c r="H28" s="2">
        <v>1000</v>
      </c>
      <c r="I28" s="2">
        <v>1000</v>
      </c>
      <c r="J28" s="2">
        <v>1464.1000000000001</v>
      </c>
      <c r="K28" s="2">
        <v>2928.2000000000003</v>
      </c>
      <c r="L28" s="14">
        <v>0.7</v>
      </c>
      <c r="M28" t="s">
        <v>55</v>
      </c>
      <c r="N28" s="15" t="s">
        <v>56</v>
      </c>
      <c r="O28" s="16">
        <v>4.5</v>
      </c>
      <c r="P28" s="17">
        <v>4.5</v>
      </c>
    </row>
    <row r="35" spans="2:8" ht="23.25" x14ac:dyDescent="0.35">
      <c r="B35" s="1" t="s">
        <v>57</v>
      </c>
    </row>
    <row r="37" spans="2:8" x14ac:dyDescent="0.2">
      <c r="B37" s="11" t="s">
        <v>58</v>
      </c>
      <c r="D37" s="11" t="s">
        <v>59</v>
      </c>
      <c r="F37" s="11" t="s">
        <v>60</v>
      </c>
      <c r="H37" s="11" t="s">
        <v>61</v>
      </c>
    </row>
    <row r="38" spans="2:8" x14ac:dyDescent="0.2">
      <c r="B38" s="18">
        <v>1000000</v>
      </c>
      <c r="D38" s="18">
        <v>50000000</v>
      </c>
      <c r="F38" s="19">
        <v>0.8</v>
      </c>
      <c r="H38" s="19">
        <v>0.2</v>
      </c>
    </row>
    <row r="40" spans="2:8" x14ac:dyDescent="0.2">
      <c r="B40" s="11" t="s">
        <v>37</v>
      </c>
      <c r="D40" s="11" t="s">
        <v>62</v>
      </c>
    </row>
    <row r="41" spans="2:8" x14ac:dyDescent="0.2">
      <c r="B41" s="20" t="s">
        <v>51</v>
      </c>
      <c r="D41" s="18">
        <v>100000</v>
      </c>
    </row>
    <row r="43" spans="2:8" x14ac:dyDescent="0.2">
      <c r="B43" s="11" t="s">
        <v>63</v>
      </c>
    </row>
    <row r="44" spans="2:8" x14ac:dyDescent="0.2">
      <c r="B44" s="21" t="s">
        <v>64</v>
      </c>
      <c r="C44" s="22"/>
      <c r="D44" s="22"/>
      <c r="E44" s="22"/>
      <c r="F44" s="23"/>
    </row>
    <row r="46" spans="2:8" x14ac:dyDescent="0.2">
      <c r="B46" s="11" t="s">
        <v>65</v>
      </c>
    </row>
    <row r="47" spans="2:8" x14ac:dyDescent="0.2">
      <c r="B47" s="24"/>
      <c r="C47" s="25"/>
      <c r="D47" s="25"/>
      <c r="E47" s="25"/>
      <c r="F47" s="26"/>
    </row>
    <row r="48" spans="2:8" x14ac:dyDescent="0.2">
      <c r="B48" s="27"/>
      <c r="C48" s="28"/>
      <c r="D48" s="28"/>
      <c r="E48" s="28"/>
      <c r="F48" s="29"/>
    </row>
    <row r="49" spans="2:6" x14ac:dyDescent="0.2">
      <c r="B49" s="27"/>
      <c r="C49" s="28"/>
      <c r="D49" s="28"/>
      <c r="E49" s="28"/>
      <c r="F49" s="29"/>
    </row>
    <row r="50" spans="2:6" x14ac:dyDescent="0.2">
      <c r="B50" s="27"/>
      <c r="C50" s="30" t="s">
        <v>66</v>
      </c>
      <c r="D50" s="30"/>
      <c r="E50" s="28"/>
      <c r="F50" s="29"/>
    </row>
    <row r="51" spans="2:6" x14ac:dyDescent="0.2">
      <c r="B51" s="27"/>
      <c r="C51" s="28"/>
      <c r="D51" s="28"/>
      <c r="E51" s="28"/>
      <c r="F51" s="29"/>
    </row>
    <row r="52" spans="2:6" x14ac:dyDescent="0.2">
      <c r="B52" s="27"/>
      <c r="C52" s="28"/>
      <c r="D52" s="28"/>
      <c r="E52" s="28"/>
      <c r="F52" s="29"/>
    </row>
    <row r="53" spans="2:6" x14ac:dyDescent="0.2">
      <c r="B53" s="31"/>
      <c r="C53" s="32"/>
      <c r="D53" s="32"/>
      <c r="E53" s="32"/>
      <c r="F53" s="33"/>
    </row>
  </sheetData>
  <dataValidations disablePrompts="1" count="1">
    <dataValidation type="list" allowBlank="1" showInputMessage="1" showErrorMessage="1" sqref="B4" xr:uid="{7C82DF57-AAC8-4B47-A0A8-5FF1BDDAB716}">
      <formula1>model_class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0</xdr:col>
                    <xdr:colOff>752475</xdr:colOff>
                    <xdr:row>53</xdr:row>
                    <xdr:rowOff>152400</xdr:rowOff>
                  </from>
                  <to>
                    <xdr:col>1</xdr:col>
                    <xdr:colOff>923925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29</xdr:row>
                    <xdr:rowOff>161925</xdr:rowOff>
                  </from>
                  <to>
                    <xdr:col>1</xdr:col>
                    <xdr:colOff>1057275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>
                <anchor moveWithCells="1" sizeWithCells="1">
                  <from>
                    <xdr:col>0</xdr:col>
                    <xdr:colOff>752475</xdr:colOff>
                    <xdr:row>4</xdr:row>
                    <xdr:rowOff>123825</xdr:rowOff>
                  </from>
                  <to>
                    <xdr:col>1</xdr:col>
                    <xdr:colOff>1095375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BDD49E4FA5754994C0AA5CB1643E73" ma:contentTypeVersion="17" ma:contentTypeDescription="Crée un document." ma:contentTypeScope="" ma:versionID="cd379f0422650ca1bc468f3207e0ef58">
  <xsd:schema xmlns:xsd="http://www.w3.org/2001/XMLSchema" xmlns:xs="http://www.w3.org/2001/XMLSchema" xmlns:p="http://schemas.microsoft.com/office/2006/metadata/properties" xmlns:ns2="940b769a-9f7c-4536-b4b5-6117aa7b09c1" xmlns:ns3="2981092e-8e34-4398-9d82-71eacc169086" targetNamespace="http://schemas.microsoft.com/office/2006/metadata/properties" ma:root="true" ma:fieldsID="2dfe84a133b3a61db62d4ff6136f049b" ns2:_="" ns3:_="">
    <xsd:import namespace="940b769a-9f7c-4536-b4b5-6117aa7b09c1"/>
    <xsd:import namespace="2981092e-8e34-4398-9d82-71eacc169086"/>
    <xsd:element name="properties">
      <xsd:complexType>
        <xsd:sequence>
          <xsd:element name="documentManagement">
            <xsd:complexType>
              <xsd:all>
                <xsd:element ref="ns2:_Flow_SignoffStatus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0b769a-9f7c-4536-b4b5-6117aa7b09c1" elementFormDefault="qualified">
    <xsd:import namespace="http://schemas.microsoft.com/office/2006/documentManagement/types"/>
    <xsd:import namespace="http://schemas.microsoft.com/office/infopath/2007/PartnerControls"/>
    <xsd:element name="_Flow_SignoffStatus" ma:index="5" nillable="true" ma:displayName="État de validation" ma:internalName="_x00c9_tat_x0020_de_x0020_validation" ma:readOnly="false">
      <xsd:simpleType>
        <xsd:restriction base="dms:Text"/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d9f69be0-d6ce-4f73-a7b9-7ecbdf0b7d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81092e-8e34-4398-9d82-71eacc169086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34ec2840-c5bd-4ad3-90f9-5dc57dace8d2}" ma:internalName="TaxCatchAll" ma:showField="CatchAllData" ma:web="2981092e-8e34-4398-9d82-71eacc1690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ype de contenu"/>
        <xsd:element ref="dc:title" minOccurs="0" maxOccurs="1" ma:index="3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40b769a-9f7c-4536-b4b5-6117aa7b09c1">
      <Terms xmlns="http://schemas.microsoft.com/office/infopath/2007/PartnerControls"/>
    </lcf76f155ced4ddcb4097134ff3c332f>
    <TaxCatchAll xmlns="2981092e-8e34-4398-9d82-71eacc169086" xsi:nil="true"/>
    <_Flow_SignoffStatus xmlns="940b769a-9f7c-4536-b4b5-6117aa7b09c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5EA1842D-1D15-4512-86FB-BA135D7B72A6}"/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http://schemas.microsoft.com/office/2006/metadata/properties"/>
    <ds:schemaRef ds:uri="http://schemas.microsoft.com/office/infopath/2007/PartnerControls"/>
    <ds:schemaRef ds:uri="9653ab0e-3cf5-465e-8153-2b245204721b"/>
    <ds:schemaRef ds:uri="8599fe0a-6ecc-4f95-b5b5-1a18f39eea74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Python</vt:lpstr>
      <vt:lpstr>Input</vt:lpstr>
      <vt:lpstr>Output</vt:lpstr>
      <vt:lpstr>UI Template</vt:lpstr>
      <vt:lpstr>engine_path</vt:lpstr>
      <vt:lpstr>frequency_parameter_1</vt:lpstr>
      <vt:lpstr>loss_type</vt:lpstr>
      <vt:lpstr>model_id</vt:lpstr>
      <vt:lpstr>python_interpreter_path</vt:lpstr>
      <vt:lpstr>python_script_path</vt:lpstr>
      <vt:lpstr>severity_distribution</vt:lpstr>
      <vt:lpstr>severity_parameter_1</vt:lpstr>
      <vt:lpstr>severity_parameter_2</vt:lpstr>
      <vt:lpstr>simulation_years</vt:lpstr>
      <vt:lpstr>threshold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Alpha Bah</dc:creator>
  <cp:keywords/>
  <dc:description/>
  <cp:lastModifiedBy>Alpha BAH</cp:lastModifiedBy>
  <cp:revision/>
  <dcterms:created xsi:type="dcterms:W3CDTF">2024-01-06T11:27:44Z</dcterms:created>
  <dcterms:modified xsi:type="dcterms:W3CDTF">2025-01-28T09:12:14Z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0x01010007BDD49E4FA5754994C0AA5CB1643E73</vt:lpwstr>
  </property>
  <property fmtid="{D5CDD505-2E9C-101B-9397-08002B2CF9AE}" pid="3" name="MediaServiceImageTags">
    <vt:lpwstr/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2024-06-10T12:58:23Z</vt:lpwstr>
  </property>
  <property fmtid="{D5CDD505-2E9C-101B-9397-08002B2CF9AE}" pid="6" name="MSIP_Label_defa4170-0d19-0005-0004-bc88714345d2_Method">
    <vt:lpwstr>Standard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12cf2c6b-f6e8-453d-9d4e-45d94929bcd8</vt:lpwstr>
  </property>
  <property fmtid="{D5CDD505-2E9C-101B-9397-08002B2CF9AE}" pid="9" name="MSIP_Label_defa4170-0d19-0005-0004-bc88714345d2_ActionId">
    <vt:lpwstr>7841948e-c9c8-44f9-b3f7-79b2ed7c0b2e</vt:lpwstr>
  </property>
  <property fmtid="{D5CDD505-2E9C-101B-9397-08002B2CF9AE}" pid="10" name="MSIP_Label_defa4170-0d19-0005-0004-bc88714345d2_ContentBits">
    <vt:lpwstr>0</vt:lpwstr>
  </property>
</Properties>
</file>