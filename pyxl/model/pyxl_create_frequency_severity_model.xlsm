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pha\Documents\mywebapps\train_sqla\pyxl\model\"/>
    </mc:Choice>
  </mc:AlternateContent>
  <xr:revisionPtr revIDLastSave="0" documentId="13_ncr:1_{E8475DFF-250A-4B1D-A6DC-C1538678C82F}" xr6:coauthVersionLast="47" xr6:coauthVersionMax="47" xr10:uidLastSave="{00000000-0000-0000-0000-000000000000}"/>
  <bookViews>
    <workbookView xWindow="-120" yWindow="-120" windowWidth="29040" windowHeight="17520" activeTab="1" xr2:uid="{6A922170-A87F-4BC6-AB83-DCBBCF414313}"/>
  </bookViews>
  <sheets>
    <sheet name="Python" sheetId="3" r:id="rId1"/>
    <sheet name="Input" sheetId="4" r:id="rId2"/>
    <sheet name="Output" sheetId="1" r:id="rId3"/>
    <sheet name="UI Template" sheetId="2" r:id="rId4"/>
  </sheets>
  <functionGroups builtInGroupCount="19"/>
  <definedNames>
    <definedName name="engine_path">Python!$C$5</definedName>
    <definedName name="frequency_distribution">Input!$C$6</definedName>
    <definedName name="frequency_parameter_0">Input!$C$7</definedName>
    <definedName name="frequency_parameter_1">Input!$C$8</definedName>
    <definedName name="frequency_parameter_2">Input!$C$9</definedName>
    <definedName name="frequency_parameter_3">Input!$C$10</definedName>
    <definedName name="frequency_parameter_4">Input!$C$11</definedName>
    <definedName name="line_of_business">Input!$C$29</definedName>
    <definedName name="loss_type">Input!$C$22</definedName>
    <definedName name="model">Input!$C$28</definedName>
    <definedName name="model_hash">Input!$C$27</definedName>
    <definedName name="modelfile_id">Input!$C$30</definedName>
    <definedName name="peril">Input!$C$25</definedName>
    <definedName name="peril_id">Input!$C$24</definedName>
    <definedName name="python_interpreter_path">Python!$C$6</definedName>
    <definedName name="python_script_path">Python!$C$7</definedName>
    <definedName name="region">Input!$C$26</definedName>
    <definedName name="severity_distribution">Input!$C$13</definedName>
    <definedName name="severity_parameter_0">Input!$C$14</definedName>
    <definedName name="severity_parameter_1">Input!$C$15</definedName>
    <definedName name="severity_parameter_2">Input!$C$16</definedName>
    <definedName name="severity_parameter_3">Input!$C$17</definedName>
    <definedName name="severity_parameter_4">Input!$C$18</definedName>
    <definedName name="simulated_years">Input!$C$20</definedName>
    <definedName name="threshold">Input!$C$4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7" i="4" l="1"/>
  <c r="I18" i="4"/>
  <c r="I19" i="4"/>
  <c r="I20" i="4"/>
  <c r="I21" i="4"/>
  <c r="I16" i="4"/>
  <c r="C5" i="3"/>
  <c r="C6" i="3"/>
  <c r="C7" i="3"/>
</calcChain>
</file>

<file path=xl/sharedStrings.xml><?xml version="1.0" encoding="utf-8"?>
<sst xmlns="http://schemas.openxmlformats.org/spreadsheetml/2006/main" count="100" uniqueCount="43">
  <si>
    <t>Python parameters</t>
  </si>
  <si>
    <t>engine_path</t>
  </si>
  <si>
    <t>python_interpreter_path</t>
  </si>
  <si>
    <t>python_script_path</t>
  </si>
  <si>
    <t>Input Data</t>
  </si>
  <si>
    <t>threshold</t>
  </si>
  <si>
    <t>severity_distribution</t>
  </si>
  <si>
    <t>pareto</t>
  </si>
  <si>
    <t>severity_parameter_1</t>
  </si>
  <si>
    <t>severity_parameter_2</t>
  </si>
  <si>
    <t>frequency_parameter_1</t>
  </si>
  <si>
    <t>loss_type</t>
  </si>
  <si>
    <t>Output Data</t>
  </si>
  <si>
    <t>year</t>
  </si>
  <si>
    <t>loss</t>
  </si>
  <si>
    <t>day</t>
  </si>
  <si>
    <t>peril_id</t>
  </si>
  <si>
    <t>peril</t>
  </si>
  <si>
    <t>region</t>
  </si>
  <si>
    <t>line_of_business</t>
  </si>
  <si>
    <t>model_hash</t>
  </si>
  <si>
    <t>model</t>
  </si>
  <si>
    <t>frequency_distribution</t>
  </si>
  <si>
    <t>poisson</t>
  </si>
  <si>
    <t>frequency_parameter_0</t>
  </si>
  <si>
    <t>frequency_parameter_2</t>
  </si>
  <si>
    <t>frequency_parameter_3</t>
  </si>
  <si>
    <t>frequency_parameter_4</t>
  </si>
  <si>
    <t>severity_parameter_0</t>
  </si>
  <si>
    <t>severity_parameter_3</t>
  </si>
  <si>
    <t>severity_parameter_4</t>
  </si>
  <si>
    <t>loss_type_value</t>
  </si>
  <si>
    <t>cat</t>
  </si>
  <si>
    <t>non_cat</t>
  </si>
  <si>
    <t>cat_non_cat</t>
  </si>
  <si>
    <t>modelfile_id</t>
  </si>
  <si>
    <t>simulated_years</t>
  </si>
  <si>
    <t>root_relative_level</t>
  </si>
  <si>
    <t xml:space="preserve"> </t>
  </si>
  <si>
    <t>frequency_distribution_value</t>
  </si>
  <si>
    <t>severity_distribution_value</t>
  </si>
  <si>
    <t>negative_binomial</t>
  </si>
  <si>
    <t>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</si>
</sst>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sz val="10"/>
      <color theme="1"/>
      <name val="Calibri"/>
      <family val="2"/>
      <scheme val="minor"/>
    </font>
    <font>
      <sz val="10"/>
      <color rgb="FF3F3F76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1" fillId="0" borderId="0" applyNumberFormat="0" applyFill="0" applyBorder="0" applyAlignment="0" applyProtection="0"/>
    <xf numFmtId="0" fontId="2" fillId="0" borderId="0"/>
    <xf numFmtId="0" fontId="3" fillId="2" borderId="1" applyNumberFormat="0" applyAlignment="0" applyProtection="0"/>
    <xf numFmtId="0" fontId="4" fillId="3" borderId="1" applyNumberFormat="0" applyAlignment="0" applyProtection="0"/>
  </cellStyleXfs>
  <cellXfs count="14">
    <xf numFmtId="0" fontId="0" fillId="0" borderId="0" xfId="0"/>
    <xf numFmtId="0" fontId="1" fillId="0" borderId="0" xfId="1"/>
    <xf numFmtId="0" fontId="2" fillId="0" borderId="0" xfId="2"/>
    <xf numFmtId="0" fontId="2" fillId="0" borderId="0" xfId="2" applyAlignment="1">
      <alignment horizontal="right" indent="1"/>
    </xf>
    <xf numFmtId="0" fontId="3" fillId="2" borderId="1" xfId="3" applyAlignment="1">
      <alignment horizontal="center"/>
    </xf>
    <xf numFmtId="0" fontId="4" fillId="3" borderId="2" xfId="4" applyBorder="1"/>
    <xf numFmtId="0" fontId="4" fillId="3" borderId="3" xfId="4" applyBorder="1"/>
    <xf numFmtId="0" fontId="4" fillId="3" borderId="4" xfId="4" applyBorder="1"/>
    <xf numFmtId="3" fontId="3" fillId="2" borderId="1" xfId="3" applyNumberFormat="1" applyAlignment="1">
      <alignment horizontal="center"/>
    </xf>
    <xf numFmtId="3" fontId="0" fillId="0" borderId="0" xfId="0" applyNumberFormat="1"/>
    <xf numFmtId="2" fontId="3" fillId="2" borderId="1" xfId="3" applyNumberFormat="1" applyAlignment="1">
      <alignment horizontal="center"/>
    </xf>
    <xf numFmtId="0" fontId="2" fillId="4" borderId="0" xfId="2" applyFill="1" applyAlignment="1">
      <alignment horizontal="right" indent="1"/>
    </xf>
    <xf numFmtId="0" fontId="2" fillId="0" borderId="0" xfId="2" applyFill="1"/>
    <xf numFmtId="0" fontId="3" fillId="2" borderId="1" xfId="3" applyNumberFormat="1" applyAlignment="1">
      <alignment horizontal="center"/>
    </xf>
  </cellXfs>
  <cellStyles count="5">
    <cellStyle name="Calcul 2" xfId="4" xr:uid="{4C640426-5B78-48D3-AEDB-19C2F277EB9D}"/>
    <cellStyle name="Entrée 2" xfId="3" xr:uid="{45B3376C-7959-4BFC-8566-8804392EB376}"/>
    <cellStyle name="Normal" xfId="0" builtinId="0"/>
    <cellStyle name="Normal 2" xfId="2" xr:uid="{E4CCF770-39EE-47A1-87F5-3F8DD615AB8E}"/>
    <cellStyle name="Titre" xfId="1" builtinId="15"/>
  </cellStyles>
  <dxfs count="11"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217170</xdr:colOff>
      <xdr:row>3</xdr:row>
      <xdr:rowOff>95250</xdr:rowOff>
    </xdr:from>
    <xdr:to>
      <xdr:col>9</xdr:col>
      <xdr:colOff>0</xdr:colOff>
      <xdr:row>11</xdr:row>
      <xdr:rowOff>76200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A6F34311-D870-4BB8-F2C8-943A4356C4AD}"/>
            </a:ext>
          </a:extLst>
        </xdr:cNvPr>
        <xdr:cNvSpPr txBox="1"/>
      </xdr:nvSpPr>
      <xdr:spPr>
        <a:xfrm>
          <a:off x="4665345" y="857250"/>
          <a:ext cx="4107180" cy="13525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2400" baseline="0">
              <a:solidFill>
                <a:srgbClr val="FF0000"/>
              </a:solidFill>
            </a:rPr>
            <a:t>Use loss_type</a:t>
          </a:r>
          <a:endParaRPr lang="en-GB" sz="2400">
            <a:solidFill>
              <a:srgbClr val="FF0000"/>
            </a:solidFill>
          </a:endParaRPr>
        </a:p>
      </xdr:txBody>
    </xdr:sp>
    <xdr:clientData/>
  </xdr:twoCellAnchor>
  <xdr:twoCellAnchor>
    <xdr:from>
      <xdr:col>0</xdr:col>
      <xdr:colOff>666750</xdr:colOff>
      <xdr:row>31</xdr:row>
      <xdr:rowOff>142875</xdr:rowOff>
    </xdr:from>
    <xdr:to>
      <xdr:col>3</xdr:col>
      <xdr:colOff>215265</xdr:colOff>
      <xdr:row>34</xdr:row>
      <xdr:rowOff>1905</xdr:rowOff>
    </xdr:to>
    <xdr:sp macro="[0]!create_frequency_severity_model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C069B56B-3D3D-80D4-2F99-FDF7908D70A2}"/>
            </a:ext>
          </a:extLst>
        </xdr:cNvPr>
        <xdr:cNvSpPr/>
      </xdr:nvSpPr>
      <xdr:spPr>
        <a:xfrm>
          <a:off x="666750" y="5743575"/>
          <a:ext cx="2434590" cy="37338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0"/>
            <a:t>Create Frequency-Severity</a:t>
          </a:r>
          <a:r>
            <a:rPr lang="en-GB" sz="1200" b="0" baseline="0"/>
            <a:t> Model</a:t>
          </a:r>
          <a:endParaRPr lang="en-GB" sz="1200" b="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1B9D00A-912C-4B9D-9447-C3733D94D43C}" name="Tableau2" displayName="Tableau2" ref="L11:L14" totalsRowShown="0" headerRowDxfId="10" headerRowCellStyle="Normal 2" dataCellStyle="Normal 2">
  <autoFilter ref="L11:L14" xr:uid="{21B9D00A-912C-4B9D-9447-C3733D94D43C}"/>
  <tableColumns count="1">
    <tableColumn id="1" xr3:uid="{4CC508C8-0CA8-44F5-A9A3-30D0D471E1F5}" name="loss_type_value" dataCellStyle="Normal 2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458DB97-390B-4289-8D1F-F99263BFD656}" name="Tableau3" displayName="Tableau3" ref="L4:L6" totalsRowShown="0" headerRowCellStyle="Normal 2" dataCellStyle="Normal 2">
  <autoFilter ref="L4:L6" xr:uid="{A458DB97-390B-4289-8D1F-F99263BFD656}"/>
  <tableColumns count="1">
    <tableColumn id="1" xr3:uid="{B3C62CDC-25F7-4EAA-9BBB-CD9FE7593D45}" name="frequency_distribution_value" dataCellStyle="Normal 2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9543B6-024D-48AB-BA6B-F5530D5DBF45}" name="Tableau4" displayName="Tableau4" ref="L8:L9" totalsRowShown="0" headerRowCellStyle="Normal 2" dataCellStyle="Normal 2">
  <autoFilter ref="L8:L9" xr:uid="{BC9543B6-024D-48AB-BA6B-F5530D5DBF45}"/>
  <tableColumns count="1">
    <tableColumn id="1" xr3:uid="{3F9D3204-4CFA-4084-8F64-3B7E1FE6D898}" name="severity_distribution_value" dataCellStyle="Normal 2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2B48A66-4F51-4675-B59A-30D02724C821}" name="table_output" displayName="table_output" ref="B4:L39" totalsRowShown="0">
  <autoFilter ref="B4:L39" xr:uid="{72B48A66-4F51-4675-B59A-30D02724C821}"/>
  <tableColumns count="11">
    <tableColumn id="2" xr3:uid="{16F8C670-45E4-4632-9CA9-68F36D2BC372}" name="year" dataDxfId="9"/>
    <tableColumn id="1" xr3:uid="{4FB90F54-DF03-4F9F-8CAD-988511ADDF99}" name="day" dataDxfId="8"/>
    <tableColumn id="4" xr3:uid="{F54F2A36-C3B4-4D64-913B-80B4F92872A4}" name="loss" dataDxfId="7"/>
    <tableColumn id="3" xr3:uid="{51604BB2-5797-411C-850C-43EDC50C02D9}" name="loss_type"/>
    <tableColumn id="5" xr3:uid="{0194741B-2A61-48BA-8103-903A330CC7C9}" name="peril_id" dataDxfId="6"/>
    <tableColumn id="6" xr3:uid="{E54A0B12-044D-4E0C-9B01-A32E366C92F3}" name="peril" dataDxfId="5"/>
    <tableColumn id="7" xr3:uid="{5E485DEF-DCFE-44A8-AA5E-8AFC5E998607}" name="region" dataDxfId="4"/>
    <tableColumn id="10" xr3:uid="{A4CD15C0-4E2B-4D56-AF54-58C0CF8A8EAA}" name="model_hash" dataDxfId="3"/>
    <tableColumn id="9" xr3:uid="{3F4212F3-EEDA-4A65-A619-202DD05EC1C3}" name="model" dataDxfId="2"/>
    <tableColumn id="8" xr3:uid="{E9FB3E7C-7642-4284-9BE8-4E12B633A414}" name="line_of_business" dataDxfId="1"/>
    <tableColumn id="11" xr3:uid="{36A84930-54AD-43C0-BFF8-F0343275A33C}" name="modelfile_i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707037-3971-4F96-8881-4090E5D98D28}">
  <sheetPr codeName="Feuil3">
    <tabColor theme="7" tint="0.79998168889431442"/>
  </sheetPr>
  <dimension ref="B2:P7"/>
  <sheetViews>
    <sheetView showGridLines="0" workbookViewId="0">
      <selection activeCell="C5" sqref="C5"/>
    </sheetView>
  </sheetViews>
  <sheetFormatPr baseColWidth="10" defaultColWidth="11.44140625" defaultRowHeight="13.8" x14ac:dyDescent="0.3"/>
  <cols>
    <col min="1" max="16384" width="11.44140625" style="2"/>
  </cols>
  <sheetData>
    <row r="2" spans="2:16" ht="23.4" x14ac:dyDescent="0.45">
      <c r="B2" s="1" t="s">
        <v>0</v>
      </c>
    </row>
    <row r="4" spans="2:16" x14ac:dyDescent="0.3">
      <c r="B4" s="3" t="s">
        <v>37</v>
      </c>
      <c r="C4" s="4">
        <v>2</v>
      </c>
    </row>
    <row r="5" spans="2:16" x14ac:dyDescent="0.3">
      <c r="B5" s="3" t="s">
        <v>1</v>
      </c>
      <c r="C5" s="5" t="str">
        <f>GetParentPath(C4)</f>
        <v>C:\Users\Alpha\Documents\mywebapps\train_sqla</v>
      </c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7"/>
    </row>
    <row r="6" spans="2:16" x14ac:dyDescent="0.3">
      <c r="B6" s="3" t="s">
        <v>2</v>
      </c>
      <c r="C6" s="5" t="str">
        <f>GetParentPath(C4) &amp; "\.venv\Scripts\python.exe"</f>
        <v>C:\Users\Alpha\Documents\mywebapps\train_sqla\.venv\Scripts\python.exe</v>
      </c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7"/>
    </row>
    <row r="7" spans="2:16" x14ac:dyDescent="0.3">
      <c r="B7" s="3" t="s">
        <v>3</v>
      </c>
      <c r="C7" s="5" t="str">
        <f>GetCurrentPath() &amp; "\" &amp; GetThisWorkbookName() &amp; ".py"</f>
        <v>C:\Users\Alpha\Documents\mywebapps\train_sqla\pyxl\model\pyxl_create_frequency_severity_model.py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7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D2089B-C159-4CE0-AB6F-8688EA11AB40}">
  <sheetPr codeName="Feuil1">
    <tabColor theme="7" tint="0.79998168889431442"/>
  </sheetPr>
  <dimension ref="B2:L30"/>
  <sheetViews>
    <sheetView showGridLines="0" tabSelected="1" workbookViewId="0">
      <selection activeCell="N18" sqref="N18"/>
    </sheetView>
  </sheetViews>
  <sheetFormatPr baseColWidth="10" defaultColWidth="11.44140625" defaultRowHeight="13.8" x14ac:dyDescent="0.3"/>
  <cols>
    <col min="1" max="1" width="11.44140625" style="2"/>
    <col min="2" max="2" width="19.33203125" style="2" customWidth="1"/>
    <col min="3" max="11" width="11.44140625" style="2"/>
    <col min="12" max="12" width="25.109375" style="2" customWidth="1"/>
    <col min="13" max="16384" width="11.44140625" style="2"/>
  </cols>
  <sheetData>
    <row r="2" spans="2:12" ht="23.4" x14ac:dyDescent="0.45">
      <c r="B2" s="1" t="s">
        <v>4</v>
      </c>
    </row>
    <row r="3" spans="2:12" ht="23.4" x14ac:dyDescent="0.45">
      <c r="B3" s="1"/>
    </row>
    <row r="4" spans="2:12" x14ac:dyDescent="0.3">
      <c r="B4" s="3" t="s">
        <v>5</v>
      </c>
      <c r="C4" s="8">
        <v>4000000</v>
      </c>
      <c r="L4" s="2" t="s">
        <v>39</v>
      </c>
    </row>
    <row r="5" spans="2:12" x14ac:dyDescent="0.3">
      <c r="B5" s="3"/>
      <c r="C5" s="3"/>
      <c r="L5" s="2" t="s">
        <v>23</v>
      </c>
    </row>
    <row r="6" spans="2:12" x14ac:dyDescent="0.3">
      <c r="B6" s="3" t="s">
        <v>22</v>
      </c>
      <c r="C6" s="8" t="s">
        <v>23</v>
      </c>
      <c r="L6" s="12" t="s">
        <v>41</v>
      </c>
    </row>
    <row r="7" spans="2:12" x14ac:dyDescent="0.3">
      <c r="B7" s="3" t="s">
        <v>24</v>
      </c>
      <c r="C7" s="10">
        <v>3</v>
      </c>
    </row>
    <row r="8" spans="2:12" x14ac:dyDescent="0.3">
      <c r="B8" s="3" t="s">
        <v>10</v>
      </c>
      <c r="C8" s="10"/>
      <c r="L8" s="2" t="s">
        <v>40</v>
      </c>
    </row>
    <row r="9" spans="2:12" x14ac:dyDescent="0.3">
      <c r="B9" s="3" t="s">
        <v>25</v>
      </c>
      <c r="C9" s="10"/>
      <c r="L9" s="2" t="s">
        <v>7</v>
      </c>
    </row>
    <row r="10" spans="2:12" x14ac:dyDescent="0.3">
      <c r="B10" s="3" t="s">
        <v>26</v>
      </c>
      <c r="C10" s="10"/>
    </row>
    <row r="11" spans="2:12" x14ac:dyDescent="0.3">
      <c r="B11" s="3" t="s">
        <v>27</v>
      </c>
      <c r="C11" s="10"/>
      <c r="L11" s="2" t="s">
        <v>31</v>
      </c>
    </row>
    <row r="12" spans="2:12" x14ac:dyDescent="0.3">
      <c r="L12" s="2" t="s">
        <v>32</v>
      </c>
    </row>
    <row r="13" spans="2:12" x14ac:dyDescent="0.3">
      <c r="B13" s="3" t="s">
        <v>6</v>
      </c>
      <c r="C13" s="4" t="s">
        <v>7</v>
      </c>
      <c r="L13" s="2" t="s">
        <v>33</v>
      </c>
    </row>
    <row r="14" spans="2:12" x14ac:dyDescent="0.3">
      <c r="B14" s="3" t="s">
        <v>28</v>
      </c>
      <c r="C14" s="10">
        <v>1000</v>
      </c>
      <c r="L14" s="2" t="s">
        <v>34</v>
      </c>
    </row>
    <row r="15" spans="2:12" x14ac:dyDescent="0.3">
      <c r="B15" s="3" t="s">
        <v>8</v>
      </c>
      <c r="C15" s="10">
        <v>2</v>
      </c>
    </row>
    <row r="16" spans="2:12" customFormat="1" ht="14.4" x14ac:dyDescent="0.3">
      <c r="B16" s="3" t="s">
        <v>9</v>
      </c>
      <c r="C16" s="10"/>
      <c r="G16" t="s">
        <v>16</v>
      </c>
      <c r="H16" t="s">
        <v>42</v>
      </c>
      <c r="I16" t="str">
        <f>H16&amp;G16&amp;H16&amp;": "&amp;G16&amp;","</f>
        <v>"peril_id": peril_id,</v>
      </c>
      <c r="L16" s="2"/>
    </row>
    <row r="17" spans="2:12" ht="14.4" x14ac:dyDescent="0.3">
      <c r="B17" s="3" t="s">
        <v>29</v>
      </c>
      <c r="C17" s="10"/>
      <c r="G17" s="2" t="s">
        <v>17</v>
      </c>
      <c r="H17" t="s">
        <v>42</v>
      </c>
      <c r="I17" t="str">
        <f t="shared" ref="I17:I21" si="0">H17&amp;G17&amp;H17&amp;": "&amp;G17&amp;","</f>
        <v>"peril": peril,</v>
      </c>
    </row>
    <row r="18" spans="2:12" ht="14.4" x14ac:dyDescent="0.3">
      <c r="B18" s="3" t="s">
        <v>30</v>
      </c>
      <c r="C18" s="10"/>
      <c r="G18" s="2" t="s">
        <v>18</v>
      </c>
      <c r="H18" t="s">
        <v>42</v>
      </c>
      <c r="I18" t="str">
        <f t="shared" si="0"/>
        <v>"region": region,</v>
      </c>
    </row>
    <row r="19" spans="2:12" customFormat="1" ht="14.4" x14ac:dyDescent="0.3">
      <c r="G19" t="s">
        <v>20</v>
      </c>
      <c r="H19" t="s">
        <v>42</v>
      </c>
      <c r="I19" t="str">
        <f t="shared" si="0"/>
        <v>"model_hash": model_hash,</v>
      </c>
      <c r="L19" s="2"/>
    </row>
    <row r="20" spans="2:12" customFormat="1" ht="14.4" x14ac:dyDescent="0.3">
      <c r="B20" s="3" t="s">
        <v>36</v>
      </c>
      <c r="C20" s="8">
        <v>10</v>
      </c>
      <c r="G20" t="s">
        <v>21</v>
      </c>
      <c r="H20" t="s">
        <v>42</v>
      </c>
      <c r="I20" t="str">
        <f t="shared" si="0"/>
        <v>"model": model,</v>
      </c>
    </row>
    <row r="21" spans="2:12" customFormat="1" ht="14.4" x14ac:dyDescent="0.3">
      <c r="G21" t="s">
        <v>19</v>
      </c>
      <c r="H21" t="s">
        <v>42</v>
      </c>
      <c r="I21" t="str">
        <f t="shared" si="0"/>
        <v>"line_of_business": line_of_business,</v>
      </c>
    </row>
    <row r="22" spans="2:12" x14ac:dyDescent="0.3">
      <c r="B22" s="11" t="s">
        <v>11</v>
      </c>
      <c r="C22" s="4" t="s">
        <v>32</v>
      </c>
    </row>
    <row r="24" spans="2:12" x14ac:dyDescent="0.3">
      <c r="B24" s="3" t="s">
        <v>16</v>
      </c>
      <c r="C24" s="13"/>
    </row>
    <row r="25" spans="2:12" x14ac:dyDescent="0.3">
      <c r="B25" s="3" t="s">
        <v>17</v>
      </c>
      <c r="C25" s="13"/>
    </row>
    <row r="26" spans="2:12" x14ac:dyDescent="0.3">
      <c r="B26" s="3" t="s">
        <v>18</v>
      </c>
      <c r="C26" s="13"/>
    </row>
    <row r="27" spans="2:12" x14ac:dyDescent="0.3">
      <c r="B27" s="3" t="s">
        <v>20</v>
      </c>
      <c r="C27" s="13"/>
    </row>
    <row r="28" spans="2:12" x14ac:dyDescent="0.3">
      <c r="B28" s="3" t="s">
        <v>21</v>
      </c>
      <c r="C28" s="13"/>
    </row>
    <row r="29" spans="2:12" x14ac:dyDescent="0.3">
      <c r="B29" s="3" t="s">
        <v>19</v>
      </c>
      <c r="C29" s="13"/>
    </row>
    <row r="30" spans="2:12" x14ac:dyDescent="0.3">
      <c r="B30" s="3" t="s">
        <v>35</v>
      </c>
      <c r="C30" s="13">
        <v>1</v>
      </c>
      <c r="D30" s="2" t="s">
        <v>38</v>
      </c>
    </row>
  </sheetData>
  <phoneticPr fontId="5" type="noConversion"/>
  <dataValidations count="3">
    <dataValidation type="list" allowBlank="1" showInputMessage="1" showErrorMessage="1" sqref="C6" xr:uid="{37291E17-B917-4C3E-A3E3-30B1E765DC1E}">
      <formula1>$L$5:$L$6</formula1>
    </dataValidation>
    <dataValidation type="list" allowBlank="1" showInputMessage="1" showErrorMessage="1" sqref="C22" xr:uid="{8486E99D-BE42-4B6E-9EA7-0E3CA72D3E6D}">
      <formula1>$L$12:$L$14</formula1>
    </dataValidation>
    <dataValidation type="list" allowBlank="1" showInputMessage="1" showErrorMessage="1" sqref="C13" xr:uid="{10016866-48BB-4ACD-A17C-B0D6D89C4229}">
      <formula1>$L$9</formula1>
    </dataValidation>
  </dataValidations>
  <pageMargins left="0.7" right="0.7" top="0.75" bottom="0.75" header="0.3" footer="0.3"/>
  <pageSetup orientation="portrait" r:id="rId1"/>
  <drawing r:id="rId2"/>
  <tableParts count="3"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DC458-84AD-4F55-9229-BD923ECD5467}">
  <sheetPr codeName="Feuil2">
    <tabColor theme="8" tint="0.79998168889431442"/>
  </sheetPr>
  <dimension ref="B2:L39"/>
  <sheetViews>
    <sheetView showGridLines="0" workbookViewId="0">
      <selection activeCell="D5" sqref="D5:D39"/>
    </sheetView>
  </sheetViews>
  <sheetFormatPr baseColWidth="10" defaultRowHeight="14.4" x14ac:dyDescent="0.3"/>
  <cols>
    <col min="2" max="2" width="12.44140625" customWidth="1"/>
    <col min="3" max="3" width="6.5546875" bestFit="1" customWidth="1"/>
    <col min="4" max="4" width="11.33203125" bestFit="1" customWidth="1"/>
    <col min="5" max="5" width="11.6640625" bestFit="1" customWidth="1"/>
    <col min="6" max="6" width="10.109375" bestFit="1" customWidth="1"/>
    <col min="7" max="7" width="7.44140625" bestFit="1" customWidth="1"/>
    <col min="8" max="8" width="9" bestFit="1" customWidth="1"/>
    <col min="9" max="9" width="14.109375" bestFit="1" customWidth="1"/>
    <col min="10" max="10" width="9" bestFit="1" customWidth="1"/>
    <col min="11" max="11" width="18.44140625" bestFit="1" customWidth="1"/>
    <col min="12" max="12" width="14.6640625" bestFit="1" customWidth="1"/>
  </cols>
  <sheetData>
    <row r="2" spans="2:12" ht="23.4" x14ac:dyDescent="0.45">
      <c r="B2" s="1" t="s">
        <v>12</v>
      </c>
    </row>
    <row r="4" spans="2:12" x14ac:dyDescent="0.3">
      <c r="B4" t="s">
        <v>13</v>
      </c>
      <c r="C4" t="s">
        <v>15</v>
      </c>
      <c r="D4" t="s">
        <v>14</v>
      </c>
      <c r="E4" t="s">
        <v>11</v>
      </c>
      <c r="F4" t="s">
        <v>16</v>
      </c>
      <c r="G4" t="s">
        <v>17</v>
      </c>
      <c r="H4" t="s">
        <v>18</v>
      </c>
      <c r="I4" t="s">
        <v>20</v>
      </c>
      <c r="J4" t="s">
        <v>21</v>
      </c>
      <c r="K4" t="s">
        <v>19</v>
      </c>
      <c r="L4" t="s">
        <v>35</v>
      </c>
    </row>
    <row r="5" spans="2:12" x14ac:dyDescent="0.3">
      <c r="B5" s="9">
        <v>0</v>
      </c>
      <c r="C5" s="9">
        <v>224</v>
      </c>
      <c r="D5" s="9">
        <v>3694</v>
      </c>
      <c r="E5" t="s">
        <v>32</v>
      </c>
      <c r="F5" s="9"/>
      <c r="G5" s="9"/>
      <c r="H5" s="9"/>
      <c r="I5" s="9"/>
      <c r="J5" s="9"/>
      <c r="K5" s="9"/>
      <c r="L5" s="9">
        <v>1</v>
      </c>
    </row>
    <row r="6" spans="2:12" x14ac:dyDescent="0.3">
      <c r="B6" s="9">
        <v>0</v>
      </c>
      <c r="C6" s="9">
        <v>159</v>
      </c>
      <c r="D6" s="9">
        <v>1783</v>
      </c>
      <c r="E6" t="s">
        <v>33</v>
      </c>
      <c r="F6" s="9"/>
      <c r="G6" s="9"/>
      <c r="H6" s="9"/>
      <c r="I6" s="9"/>
      <c r="J6" s="9"/>
      <c r="K6" s="9"/>
      <c r="L6" s="9">
        <v>1</v>
      </c>
    </row>
    <row r="7" spans="2:12" x14ac:dyDescent="0.3">
      <c r="B7" s="9">
        <v>0</v>
      </c>
      <c r="C7" s="9">
        <v>346</v>
      </c>
      <c r="D7" s="9">
        <v>2134</v>
      </c>
      <c r="E7" t="s">
        <v>32</v>
      </c>
      <c r="F7" s="9"/>
      <c r="G7" s="9"/>
      <c r="H7" s="9"/>
      <c r="I7" s="9"/>
      <c r="J7" s="9"/>
      <c r="K7" s="9"/>
      <c r="L7" s="9">
        <v>1</v>
      </c>
    </row>
    <row r="8" spans="2:12" x14ac:dyDescent="0.3">
      <c r="B8" s="9">
        <v>0</v>
      </c>
      <c r="C8" s="9">
        <v>173</v>
      </c>
      <c r="D8" s="9">
        <v>1173</v>
      </c>
      <c r="E8" t="s">
        <v>33</v>
      </c>
      <c r="F8" s="9"/>
      <c r="G8" s="9"/>
      <c r="H8" s="9"/>
      <c r="I8" s="9"/>
      <c r="J8" s="9"/>
      <c r="K8" s="9"/>
      <c r="L8" s="9">
        <v>1</v>
      </c>
    </row>
    <row r="9" spans="2:12" x14ac:dyDescent="0.3">
      <c r="B9" s="9">
        <v>0</v>
      </c>
      <c r="C9" s="9">
        <v>164</v>
      </c>
      <c r="D9" s="9">
        <v>2255</v>
      </c>
      <c r="E9" t="s">
        <v>33</v>
      </c>
      <c r="F9" s="9"/>
      <c r="G9" s="9"/>
      <c r="H9" s="9"/>
      <c r="I9" s="9"/>
      <c r="J9" s="9"/>
      <c r="K9" s="9"/>
      <c r="L9" s="9">
        <v>1</v>
      </c>
    </row>
    <row r="10" spans="2:12" x14ac:dyDescent="0.3">
      <c r="B10" s="9">
        <v>1</v>
      </c>
      <c r="C10" s="9">
        <v>9</v>
      </c>
      <c r="D10" s="9">
        <v>1084</v>
      </c>
      <c r="E10" t="s">
        <v>32</v>
      </c>
      <c r="F10" s="9"/>
      <c r="G10" s="9"/>
      <c r="H10" s="9"/>
      <c r="I10" s="9"/>
      <c r="J10" s="9"/>
      <c r="K10" s="9"/>
      <c r="L10" s="9">
        <v>1</v>
      </c>
    </row>
    <row r="11" spans="2:12" x14ac:dyDescent="0.3">
      <c r="B11" s="9">
        <v>1</v>
      </c>
      <c r="C11" s="9">
        <v>302</v>
      </c>
      <c r="D11" s="9">
        <v>1960</v>
      </c>
      <c r="E11" t="s">
        <v>33</v>
      </c>
      <c r="F11" s="9"/>
      <c r="G11" s="9"/>
      <c r="H11" s="9"/>
      <c r="I11" s="9"/>
      <c r="J11" s="9"/>
      <c r="K11" s="9"/>
      <c r="L11" s="9">
        <v>1</v>
      </c>
    </row>
    <row r="12" spans="2:12" x14ac:dyDescent="0.3">
      <c r="B12" s="9">
        <v>2</v>
      </c>
      <c r="C12" s="9">
        <v>170</v>
      </c>
      <c r="D12" s="9">
        <v>1337</v>
      </c>
      <c r="E12" t="s">
        <v>33</v>
      </c>
      <c r="F12" s="9"/>
      <c r="G12" s="9"/>
      <c r="H12" s="9"/>
      <c r="I12" s="9"/>
      <c r="J12" s="9"/>
      <c r="K12" s="9"/>
      <c r="L12" s="9">
        <v>1</v>
      </c>
    </row>
    <row r="13" spans="2:12" x14ac:dyDescent="0.3">
      <c r="B13" s="9">
        <v>2</v>
      </c>
      <c r="C13" s="9">
        <v>77</v>
      </c>
      <c r="D13" s="9">
        <v>1064</v>
      </c>
      <c r="E13" t="s">
        <v>32</v>
      </c>
      <c r="F13" s="9"/>
      <c r="G13" s="9"/>
      <c r="H13" s="9"/>
      <c r="I13" s="9"/>
      <c r="J13" s="9"/>
      <c r="K13" s="9"/>
      <c r="L13" s="9">
        <v>1</v>
      </c>
    </row>
    <row r="14" spans="2:12" x14ac:dyDescent="0.3">
      <c r="B14" s="9">
        <v>2</v>
      </c>
      <c r="C14" s="9">
        <v>36</v>
      </c>
      <c r="D14" s="9">
        <v>1239</v>
      </c>
      <c r="E14" t="s">
        <v>33</v>
      </c>
      <c r="F14" s="9"/>
      <c r="G14" s="9"/>
      <c r="H14" s="9"/>
      <c r="I14" s="9"/>
      <c r="J14" s="9"/>
      <c r="K14" s="9"/>
      <c r="L14" s="9">
        <v>1</v>
      </c>
    </row>
    <row r="15" spans="2:12" x14ac:dyDescent="0.3">
      <c r="B15" s="9">
        <v>2</v>
      </c>
      <c r="C15" s="9">
        <v>231</v>
      </c>
      <c r="D15" s="9">
        <v>1820</v>
      </c>
      <c r="E15" t="s">
        <v>32</v>
      </c>
      <c r="F15" s="9"/>
      <c r="G15" s="9"/>
      <c r="H15" s="9"/>
      <c r="I15" s="9"/>
      <c r="J15" s="9"/>
      <c r="K15" s="9"/>
      <c r="L15" s="9">
        <v>1</v>
      </c>
    </row>
    <row r="16" spans="2:12" x14ac:dyDescent="0.3">
      <c r="B16" s="9">
        <v>2</v>
      </c>
      <c r="C16" s="9">
        <v>162</v>
      </c>
      <c r="D16" s="9">
        <v>1423</v>
      </c>
      <c r="E16" t="s">
        <v>33</v>
      </c>
      <c r="F16" s="9"/>
      <c r="G16" s="9"/>
      <c r="H16" s="9"/>
      <c r="I16" s="9"/>
      <c r="J16" s="9"/>
      <c r="K16" s="9"/>
      <c r="L16" s="9">
        <v>1</v>
      </c>
    </row>
    <row r="17" spans="2:12" x14ac:dyDescent="0.3">
      <c r="B17" s="9">
        <v>3</v>
      </c>
      <c r="C17" s="9">
        <v>282</v>
      </c>
      <c r="D17" s="9">
        <v>1009</v>
      </c>
      <c r="E17" t="s">
        <v>33</v>
      </c>
      <c r="F17" s="9"/>
      <c r="G17" s="9"/>
      <c r="H17" s="9"/>
      <c r="I17" s="9"/>
      <c r="J17" s="9"/>
      <c r="K17" s="9"/>
      <c r="L17" s="9">
        <v>1</v>
      </c>
    </row>
    <row r="18" spans="2:12" x14ac:dyDescent="0.3">
      <c r="B18" s="9">
        <v>3</v>
      </c>
      <c r="C18" s="9">
        <v>315</v>
      </c>
      <c r="D18" s="9">
        <v>1080</v>
      </c>
      <c r="E18" t="s">
        <v>33</v>
      </c>
      <c r="F18" s="9"/>
      <c r="G18" s="9"/>
      <c r="H18" s="9"/>
      <c r="I18" s="9"/>
      <c r="J18" s="9"/>
      <c r="K18" s="9"/>
      <c r="L18" s="9">
        <v>1</v>
      </c>
    </row>
    <row r="19" spans="2:12" x14ac:dyDescent="0.3">
      <c r="B19" s="9">
        <v>3</v>
      </c>
      <c r="C19" s="9">
        <v>161</v>
      </c>
      <c r="D19" s="9">
        <v>1969</v>
      </c>
      <c r="E19" t="s">
        <v>32</v>
      </c>
      <c r="F19" s="9"/>
      <c r="G19" s="9"/>
      <c r="H19" s="9"/>
      <c r="I19" s="9"/>
      <c r="J19" s="9"/>
      <c r="K19" s="9"/>
      <c r="L19" s="9">
        <v>1</v>
      </c>
    </row>
    <row r="20" spans="2:12" x14ac:dyDescent="0.3">
      <c r="B20" s="9">
        <v>3</v>
      </c>
      <c r="C20" s="9">
        <v>270</v>
      </c>
      <c r="D20" s="9">
        <v>1076</v>
      </c>
      <c r="E20" t="s">
        <v>33</v>
      </c>
      <c r="F20" s="9"/>
      <c r="G20" s="9"/>
      <c r="H20" s="9"/>
      <c r="I20" s="9"/>
      <c r="J20" s="9"/>
      <c r="K20" s="9"/>
      <c r="L20" s="9">
        <v>1</v>
      </c>
    </row>
    <row r="21" spans="2:12" x14ac:dyDescent="0.3">
      <c r="B21" s="9">
        <v>3</v>
      </c>
      <c r="C21" s="9">
        <v>3</v>
      </c>
      <c r="D21" s="9">
        <v>1132</v>
      </c>
      <c r="E21" t="s">
        <v>33</v>
      </c>
      <c r="F21" s="9"/>
      <c r="G21" s="9"/>
      <c r="H21" s="9"/>
      <c r="I21" s="9"/>
      <c r="J21" s="9"/>
      <c r="K21" s="9"/>
      <c r="L21" s="9">
        <v>1</v>
      </c>
    </row>
    <row r="22" spans="2:12" x14ac:dyDescent="0.3">
      <c r="B22" s="9">
        <v>3</v>
      </c>
      <c r="C22" s="9">
        <v>204</v>
      </c>
      <c r="D22" s="9">
        <v>1588</v>
      </c>
      <c r="E22" t="s">
        <v>33</v>
      </c>
      <c r="F22" s="9"/>
      <c r="G22" s="9"/>
      <c r="H22" s="9"/>
      <c r="I22" s="9"/>
      <c r="J22" s="9"/>
      <c r="K22" s="9"/>
      <c r="L22" s="9">
        <v>1</v>
      </c>
    </row>
    <row r="23" spans="2:12" x14ac:dyDescent="0.3">
      <c r="B23" s="9">
        <v>3</v>
      </c>
      <c r="C23" s="9">
        <v>237</v>
      </c>
      <c r="D23" s="9">
        <v>1535</v>
      </c>
      <c r="E23" t="s">
        <v>33</v>
      </c>
      <c r="F23" s="9"/>
      <c r="G23" s="9"/>
      <c r="H23" s="9"/>
      <c r="I23" s="9"/>
      <c r="J23" s="9"/>
      <c r="K23" s="9"/>
      <c r="L23" s="9">
        <v>1</v>
      </c>
    </row>
    <row r="24" spans="2:12" x14ac:dyDescent="0.3">
      <c r="B24" s="9">
        <v>3</v>
      </c>
      <c r="C24" s="9">
        <v>354</v>
      </c>
      <c r="D24" s="9">
        <v>1329</v>
      </c>
      <c r="E24" t="s">
        <v>33</v>
      </c>
      <c r="F24" s="9"/>
      <c r="G24" s="9"/>
      <c r="H24" s="9"/>
      <c r="I24" s="9"/>
      <c r="J24" s="9"/>
      <c r="K24" s="9"/>
      <c r="L24" s="9">
        <v>1</v>
      </c>
    </row>
    <row r="25" spans="2:12" x14ac:dyDescent="0.3">
      <c r="B25" s="9">
        <v>4</v>
      </c>
      <c r="C25" s="9">
        <v>242</v>
      </c>
      <c r="D25" s="9">
        <v>1367</v>
      </c>
      <c r="E25" t="s">
        <v>32</v>
      </c>
      <c r="F25" s="9"/>
      <c r="G25" s="9"/>
      <c r="H25" s="9"/>
      <c r="I25" s="9"/>
      <c r="J25" s="9"/>
      <c r="K25" s="9"/>
      <c r="L25" s="9">
        <v>1</v>
      </c>
    </row>
    <row r="26" spans="2:12" x14ac:dyDescent="0.3">
      <c r="B26" s="9">
        <v>4</v>
      </c>
      <c r="C26" s="9">
        <v>54</v>
      </c>
      <c r="D26" s="9">
        <v>1388</v>
      </c>
      <c r="E26" t="s">
        <v>32</v>
      </c>
      <c r="F26" s="9"/>
      <c r="G26" s="9"/>
      <c r="H26" s="9"/>
      <c r="I26" s="9"/>
      <c r="J26" s="9"/>
      <c r="K26" s="9"/>
      <c r="L26" s="9">
        <v>1</v>
      </c>
    </row>
    <row r="27" spans="2:12" x14ac:dyDescent="0.3">
      <c r="B27" s="9">
        <v>5</v>
      </c>
      <c r="C27" s="9">
        <v>219</v>
      </c>
      <c r="D27" s="9">
        <v>1080</v>
      </c>
      <c r="E27" t="s">
        <v>32</v>
      </c>
      <c r="F27" s="9"/>
      <c r="G27" s="9"/>
      <c r="H27" s="9"/>
      <c r="I27" s="9"/>
      <c r="J27" s="9"/>
      <c r="K27" s="9"/>
      <c r="L27" s="9">
        <v>1</v>
      </c>
    </row>
    <row r="28" spans="2:12" x14ac:dyDescent="0.3">
      <c r="B28" s="9">
        <v>5</v>
      </c>
      <c r="C28" s="9">
        <v>232</v>
      </c>
      <c r="D28" s="9">
        <v>1034</v>
      </c>
      <c r="E28" t="s">
        <v>33</v>
      </c>
      <c r="F28" s="9"/>
      <c r="G28" s="9"/>
      <c r="H28" s="9"/>
      <c r="I28" s="9"/>
      <c r="J28" s="9"/>
      <c r="K28" s="9"/>
      <c r="L28" s="9">
        <v>1</v>
      </c>
    </row>
    <row r="29" spans="2:12" x14ac:dyDescent="0.3">
      <c r="B29" s="9">
        <v>5</v>
      </c>
      <c r="C29" s="9">
        <v>159</v>
      </c>
      <c r="D29" s="9">
        <v>1477</v>
      </c>
      <c r="E29" t="s">
        <v>32</v>
      </c>
      <c r="F29" s="9"/>
      <c r="G29" s="9"/>
      <c r="H29" s="9"/>
      <c r="I29" s="9"/>
      <c r="J29" s="9"/>
      <c r="K29" s="9"/>
      <c r="L29" s="9">
        <v>1</v>
      </c>
    </row>
    <row r="30" spans="2:12" x14ac:dyDescent="0.3">
      <c r="B30" s="9">
        <v>6</v>
      </c>
      <c r="C30" s="9">
        <v>239</v>
      </c>
      <c r="D30" s="9">
        <v>1579</v>
      </c>
      <c r="E30" t="s">
        <v>33</v>
      </c>
      <c r="F30" s="9"/>
      <c r="G30" s="9"/>
      <c r="H30" s="9"/>
      <c r="I30" s="9"/>
      <c r="J30" s="9"/>
      <c r="K30" s="9"/>
      <c r="L30" s="9">
        <v>1</v>
      </c>
    </row>
    <row r="31" spans="2:12" x14ac:dyDescent="0.3">
      <c r="B31" s="9">
        <v>6</v>
      </c>
      <c r="C31" s="9">
        <v>71</v>
      </c>
      <c r="D31" s="9">
        <v>1206</v>
      </c>
      <c r="E31" t="s">
        <v>33</v>
      </c>
      <c r="F31" s="9"/>
      <c r="G31" s="9"/>
      <c r="H31" s="9"/>
      <c r="I31" s="9"/>
      <c r="J31" s="9"/>
      <c r="K31" s="9"/>
      <c r="L31" s="9">
        <v>1</v>
      </c>
    </row>
    <row r="32" spans="2:12" x14ac:dyDescent="0.3">
      <c r="B32" s="9">
        <v>6</v>
      </c>
      <c r="C32" s="9">
        <v>40</v>
      </c>
      <c r="D32" s="9">
        <v>1171</v>
      </c>
      <c r="E32" t="s">
        <v>32</v>
      </c>
      <c r="F32" s="9"/>
      <c r="G32" s="9"/>
      <c r="H32" s="9"/>
      <c r="I32" s="9"/>
      <c r="J32" s="9"/>
      <c r="K32" s="9"/>
      <c r="L32" s="9">
        <v>1</v>
      </c>
    </row>
    <row r="33" spans="2:12" x14ac:dyDescent="0.3">
      <c r="B33" s="9">
        <v>7</v>
      </c>
      <c r="C33" s="9">
        <v>133</v>
      </c>
      <c r="D33" s="9">
        <v>1347</v>
      </c>
      <c r="E33" t="s">
        <v>33</v>
      </c>
      <c r="F33" s="9"/>
      <c r="G33" s="9"/>
      <c r="H33" s="9"/>
      <c r="I33" s="9"/>
      <c r="J33" s="9"/>
      <c r="K33" s="9"/>
      <c r="L33" s="9">
        <v>1</v>
      </c>
    </row>
    <row r="34" spans="2:12" x14ac:dyDescent="0.3">
      <c r="B34" s="9">
        <v>7</v>
      </c>
      <c r="C34" s="9">
        <v>91</v>
      </c>
      <c r="D34" s="9">
        <v>1723</v>
      </c>
      <c r="E34" t="s">
        <v>33</v>
      </c>
      <c r="F34" s="9"/>
      <c r="G34" s="9"/>
      <c r="H34" s="9"/>
      <c r="I34" s="9"/>
      <c r="J34" s="9"/>
      <c r="K34" s="9"/>
      <c r="L34" s="9">
        <v>1</v>
      </c>
    </row>
    <row r="35" spans="2:12" x14ac:dyDescent="0.3">
      <c r="B35" s="9">
        <v>8</v>
      </c>
      <c r="C35" s="9">
        <v>362</v>
      </c>
      <c r="D35" s="9">
        <v>2169</v>
      </c>
      <c r="E35" t="s">
        <v>32</v>
      </c>
      <c r="F35" s="9"/>
      <c r="G35" s="9"/>
      <c r="H35" s="9"/>
      <c r="I35" s="9"/>
      <c r="J35" s="9"/>
      <c r="K35" s="9"/>
      <c r="L35" s="9">
        <v>1</v>
      </c>
    </row>
    <row r="36" spans="2:12" x14ac:dyDescent="0.3">
      <c r="B36" s="9">
        <v>8</v>
      </c>
      <c r="C36" s="9">
        <v>157</v>
      </c>
      <c r="D36" s="9">
        <v>2268</v>
      </c>
      <c r="E36" t="s">
        <v>32</v>
      </c>
      <c r="F36" s="9"/>
      <c r="G36" s="9"/>
      <c r="H36" s="9"/>
      <c r="I36" s="9"/>
      <c r="J36" s="9"/>
      <c r="K36" s="9"/>
      <c r="L36" s="9">
        <v>1</v>
      </c>
    </row>
    <row r="37" spans="2:12" x14ac:dyDescent="0.3">
      <c r="B37" s="9">
        <v>9</v>
      </c>
      <c r="C37" s="9">
        <v>337</v>
      </c>
      <c r="D37" s="9">
        <v>4299</v>
      </c>
      <c r="E37" t="s">
        <v>33</v>
      </c>
      <c r="F37" s="9"/>
      <c r="G37" s="9"/>
      <c r="H37" s="9"/>
      <c r="I37" s="9"/>
      <c r="J37" s="9"/>
      <c r="K37" s="9"/>
      <c r="L37" s="9">
        <v>1</v>
      </c>
    </row>
    <row r="38" spans="2:12" x14ac:dyDescent="0.3">
      <c r="B38" s="9">
        <v>9</v>
      </c>
      <c r="C38" s="9">
        <v>347</v>
      </c>
      <c r="D38" s="9">
        <v>2108</v>
      </c>
      <c r="E38" t="s">
        <v>33</v>
      </c>
      <c r="F38" s="9"/>
      <c r="G38" s="9"/>
      <c r="H38" s="9"/>
      <c r="I38" s="9"/>
      <c r="J38" s="9"/>
      <c r="K38" s="9"/>
      <c r="L38" s="9">
        <v>1</v>
      </c>
    </row>
    <row r="39" spans="2:12" x14ac:dyDescent="0.3">
      <c r="B39" s="9">
        <v>9</v>
      </c>
      <c r="C39" s="9">
        <v>282</v>
      </c>
      <c r="D39" s="9">
        <v>1371</v>
      </c>
      <c r="E39" t="s">
        <v>33</v>
      </c>
      <c r="F39" s="9"/>
      <c r="G39" s="9"/>
      <c r="H39" s="9"/>
      <c r="I39" s="9"/>
      <c r="J39" s="9"/>
      <c r="K39" s="9"/>
      <c r="L39" s="9">
        <v>1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291FF-DD9E-406D-9676-133A366E95BB}">
  <sheetPr codeName="Feuil4">
    <tabColor theme="9" tint="0.79998168889431442"/>
  </sheetPr>
  <dimension ref="A1"/>
  <sheetViews>
    <sheetView showGridLines="0" workbookViewId="0"/>
  </sheetViews>
  <sheetFormatPr baseColWidth="10"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25</vt:i4>
      </vt:variant>
    </vt:vector>
  </HeadingPairs>
  <TitlesOfParts>
    <vt:vector size="29" baseType="lpstr">
      <vt:lpstr>Python</vt:lpstr>
      <vt:lpstr>Input</vt:lpstr>
      <vt:lpstr>Output</vt:lpstr>
      <vt:lpstr>UI Template</vt:lpstr>
      <vt:lpstr>engine_path</vt:lpstr>
      <vt:lpstr>frequency_distribution</vt:lpstr>
      <vt:lpstr>frequency_parameter_0</vt:lpstr>
      <vt:lpstr>frequency_parameter_1</vt:lpstr>
      <vt:lpstr>frequency_parameter_2</vt:lpstr>
      <vt:lpstr>frequency_parameter_3</vt:lpstr>
      <vt:lpstr>frequency_parameter_4</vt:lpstr>
      <vt:lpstr>line_of_business</vt:lpstr>
      <vt:lpstr>loss_type</vt:lpstr>
      <vt:lpstr>model</vt:lpstr>
      <vt:lpstr>model_hash</vt:lpstr>
      <vt:lpstr>modelfile_id</vt:lpstr>
      <vt:lpstr>peril</vt:lpstr>
      <vt:lpstr>peril_id</vt:lpstr>
      <vt:lpstr>python_interpreter_path</vt:lpstr>
      <vt:lpstr>python_script_path</vt:lpstr>
      <vt:lpstr>region</vt:lpstr>
      <vt:lpstr>severity_distribution</vt:lpstr>
      <vt:lpstr>severity_parameter_0</vt:lpstr>
      <vt:lpstr>severity_parameter_1</vt:lpstr>
      <vt:lpstr>severity_parameter_2</vt:lpstr>
      <vt:lpstr>severity_parameter_3</vt:lpstr>
      <vt:lpstr>severity_parameter_4</vt:lpstr>
      <vt:lpstr>simulated_years</vt:lpstr>
      <vt:lpstr>threshold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Alpha</dc:creator>
  <cp:lastModifiedBy>Alpha</cp:lastModifiedBy>
  <dcterms:created xsi:type="dcterms:W3CDTF">2025-02-27T16:45:03Z</dcterms:created>
  <dcterms:modified xsi:type="dcterms:W3CDTF">2025-03-06T14:47:59Z</dcterms:modified>
</cp:coreProperties>
</file>