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pha\Documents\mywebapps\train_sqla\pyxl\model\"/>
    </mc:Choice>
  </mc:AlternateContent>
  <xr:revisionPtr revIDLastSave="0" documentId="13_ncr:1_{3A9393F2-D46C-4C6D-83FE-6B774A5D46F9}" xr6:coauthVersionLast="47" xr6:coauthVersionMax="47" xr10:uidLastSave="{00000000-0000-0000-0000-000000000000}"/>
  <bookViews>
    <workbookView xWindow="-96" yWindow="-96" windowWidth="23232" windowHeight="12432" activeTab="1" xr2:uid="{6A922170-A87F-4BC6-AB83-DCBBCF414313}"/>
  </bookViews>
  <sheets>
    <sheet name="Python" sheetId="3" r:id="rId1"/>
    <sheet name="Input" sheetId="4" r:id="rId2"/>
    <sheet name="Output" sheetId="1" r:id="rId3"/>
    <sheet name="UI Template" sheetId="2" r:id="rId4"/>
  </sheets>
  <functionGroups builtInGroupCount="19"/>
  <definedNames>
    <definedName name="engine_path">Python!$C$5</definedName>
    <definedName name="frequency_distribution">Input!$C$6</definedName>
    <definedName name="frequency_parameter_0">Input!$C$7</definedName>
    <definedName name="frequency_parameter_1">Input!$C$8</definedName>
    <definedName name="frequency_parameter_2">Input!$C$9</definedName>
    <definedName name="frequency_parameter_3">Input!$C$10</definedName>
    <definedName name="frequency_parameter_4">Input!$C$11</definedName>
    <definedName name="line_of_business">Input!$C$29</definedName>
    <definedName name="loss_type">Input!$C$22</definedName>
    <definedName name="model">Input!$C$28</definedName>
    <definedName name="model_hash">Input!$C$27</definedName>
    <definedName name="peril">Input!$C$25</definedName>
    <definedName name="peril_id">Input!$C$24</definedName>
    <definedName name="python_interpreter_path">Python!$C$6</definedName>
    <definedName name="python_script_path">Python!$C$7</definedName>
    <definedName name="region">Input!$C$26</definedName>
    <definedName name="severity_distribution">Input!$C$13</definedName>
    <definedName name="severity_parameter_0">Input!$C$14</definedName>
    <definedName name="severity_parameter_1">Input!$C$15</definedName>
    <definedName name="severity_parameter_2">Input!$C$16</definedName>
    <definedName name="severity_parameter_3">Input!$C$17</definedName>
    <definedName name="severity_parameter_4">Input!$C$18</definedName>
    <definedName name="simulated_years">Input!$C$20</definedName>
    <definedName name="threshold">Input!$C$4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3" l="1"/>
  <c r="C6" i="3"/>
  <c r="C5" i="3"/>
</calcChain>
</file>

<file path=xl/sharedStrings.xml><?xml version="1.0" encoding="utf-8"?>
<sst xmlns="http://schemas.openxmlformats.org/spreadsheetml/2006/main" count="255" uniqueCount="39">
  <si>
    <t>Python parameters</t>
  </si>
  <si>
    <t>tnv_relative_level</t>
  </si>
  <si>
    <t>engine_path</t>
  </si>
  <si>
    <t>python_interpreter_path</t>
  </si>
  <si>
    <t>python_script_path</t>
  </si>
  <si>
    <t>Input Data</t>
  </si>
  <si>
    <t>threshold</t>
  </si>
  <si>
    <t>severity_distribution</t>
  </si>
  <si>
    <t>pareto</t>
  </si>
  <si>
    <t>severity_parameter_1</t>
  </si>
  <si>
    <t>severity_parameter_2</t>
  </si>
  <si>
    <t>frequency_parameter_1</t>
  </si>
  <si>
    <t>loss_type</t>
  </si>
  <si>
    <t>NON_CAT</t>
  </si>
  <si>
    <t>Output Data</t>
  </si>
  <si>
    <t>year</t>
  </si>
  <si>
    <t>loss</t>
  </si>
  <si>
    <t>day</t>
  </si>
  <si>
    <t>peril_id</t>
  </si>
  <si>
    <t>peril</t>
  </si>
  <si>
    <t>region</t>
  </si>
  <si>
    <t>line_of_business</t>
  </si>
  <si>
    <t>model_hash</t>
  </si>
  <si>
    <t>model</t>
  </si>
  <si>
    <t>frequency_distribution</t>
  </si>
  <si>
    <t>poisson</t>
  </si>
  <si>
    <t>frequency_parameter_0</t>
  </si>
  <si>
    <t>frequency_parameter_2</t>
  </si>
  <si>
    <t>frequency_parameter_3</t>
  </si>
  <si>
    <t>frequency_parameter_4</t>
  </si>
  <si>
    <t>severity_parameter_0</t>
  </si>
  <si>
    <t>severity_parameter_3</t>
  </si>
  <si>
    <t>severity_parameter_4</t>
  </si>
  <si>
    <t>loss_type_value</t>
  </si>
  <si>
    <t>cat</t>
  </si>
  <si>
    <t>non_cat</t>
  </si>
  <si>
    <t>cat_non_cat</t>
  </si>
  <si>
    <t>modelfile_id</t>
  </si>
  <si>
    <t>simulated_years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</si>
</sst>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2" borderId="1" applyNumberFormat="0" applyAlignment="0" applyProtection="0"/>
    <xf numFmtId="0" fontId="4" fillId="3" borderId="1" applyNumberFormat="0" applyAlignment="0" applyProtection="0"/>
  </cellStyleXfs>
  <cellXfs count="14">
    <xf numFmtId="0" fontId="0" fillId="0" borderId="0" xfId="0"/>
    <xf numFmtId="0" fontId="1" fillId="0" borderId="0" xfId="1"/>
    <xf numFmtId="0" fontId="2" fillId="0" borderId="0" xfId="2"/>
    <xf numFmtId="0" fontId="2" fillId="0" borderId="0" xfId="2" applyAlignment="1">
      <alignment horizontal="right" indent="1"/>
    </xf>
    <xf numFmtId="0" fontId="3" fillId="2" borderId="1" xfId="3" applyAlignment="1">
      <alignment horizontal="center"/>
    </xf>
    <xf numFmtId="0" fontId="4" fillId="3" borderId="2" xfId="4" applyBorder="1"/>
    <xf numFmtId="0" fontId="4" fillId="3" borderId="3" xfId="4" applyBorder="1"/>
    <xf numFmtId="0" fontId="4" fillId="3" borderId="4" xfId="4" applyBorder="1"/>
    <xf numFmtId="3" fontId="3" fillId="2" borderId="1" xfId="3" applyNumberFormat="1" applyAlignment="1">
      <alignment horizontal="center"/>
    </xf>
    <xf numFmtId="3" fontId="0" fillId="0" borderId="0" xfId="0" applyNumberFormat="1"/>
    <xf numFmtId="2" fontId="3" fillId="2" borderId="1" xfId="3" applyNumberFormat="1" applyAlignment="1">
      <alignment horizontal="center"/>
    </xf>
    <xf numFmtId="0" fontId="2" fillId="0" borderId="0" xfId="2" applyAlignment="1"/>
    <xf numFmtId="0" fontId="0" fillId="4" borderId="0" xfId="0" applyFill="1"/>
    <xf numFmtId="0" fontId="2" fillId="4" borderId="0" xfId="2" applyFill="1" applyAlignment="1">
      <alignment horizontal="right" indent="1"/>
    </xf>
  </cellXfs>
  <cellStyles count="5">
    <cellStyle name="Calcul 2" xfId="4" xr:uid="{4C640426-5B78-48D3-AEDB-19C2F277EB9D}"/>
    <cellStyle name="Entrée 2" xfId="3" xr:uid="{45B3376C-7959-4BFC-8566-8804392EB376}"/>
    <cellStyle name="Normal" xfId="0" builtinId="0"/>
    <cellStyle name="Normal 2" xfId="2" xr:uid="{E4CCF770-39EE-47A1-87F5-3F8DD615AB8E}"/>
    <cellStyle name="Titre" xfId="1" builtinId="15"/>
  </cellStyles>
  <dxfs count="11">
    <dxf>
      <numFmt numFmtId="3" formatCode="#,##0"/>
    </dxf>
    <dxf>
      <alignment horizontal="general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217170</xdr:colOff>
      <xdr:row>27</xdr:row>
      <xdr:rowOff>83820</xdr:rowOff>
    </xdr:from>
    <xdr:to>
      <xdr:col>6</xdr:col>
      <xdr:colOff>746760</xdr:colOff>
      <xdr:row>29</xdr:row>
      <xdr:rowOff>0</xdr:rowOff>
    </xdr:to>
    <xdr:sp macro="[0]!create_frequency_severity_model" textlink="">
      <xdr:nvSpPr>
        <xdr:cNvPr id="2" name="ZoneTexte 2">
          <a:extLst>
            <a:ext uri="{FF2B5EF4-FFF2-40B4-BE49-F238E27FC236}">
              <a16:creationId xmlns:a16="http://schemas.microsoft.com/office/drawing/2014/main" id="{F4BD362C-AFAA-4CDC-ABA9-DF25F98962FE}"/>
            </a:ext>
          </a:extLst>
        </xdr:cNvPr>
        <xdr:cNvSpPr txBox="1"/>
      </xdr:nvSpPr>
      <xdr:spPr>
        <a:xfrm>
          <a:off x="3790950" y="4800600"/>
          <a:ext cx="205359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create_frequency_severity_model</a:t>
          </a:r>
        </a:p>
      </xdr:txBody>
    </xdr:sp>
    <xdr:clientData/>
  </xdr:twoCellAnchor>
  <xdr:twoCellAnchor>
    <xdr:from>
      <xdr:col>5</xdr:col>
      <xdr:colOff>219075</xdr:colOff>
      <xdr:row>3</xdr:row>
      <xdr:rowOff>99060</xdr:rowOff>
    </xdr:from>
    <xdr:to>
      <xdr:col>15</xdr:col>
      <xdr:colOff>647700</xdr:colOff>
      <xdr:row>25</xdr:row>
      <xdr:rowOff>38100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A6F34311-D870-4BB8-F2C8-943A4356C4AD}"/>
            </a:ext>
          </a:extLst>
        </xdr:cNvPr>
        <xdr:cNvSpPr txBox="1"/>
      </xdr:nvSpPr>
      <xdr:spPr>
        <a:xfrm>
          <a:off x="4554855" y="853440"/>
          <a:ext cx="8048625" cy="3581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4000">
              <a:solidFill>
                <a:srgbClr val="FF0000"/>
              </a:solidFill>
            </a:rPr>
            <a:t>Problem with the script</a:t>
          </a:r>
        </a:p>
        <a:p>
          <a:endParaRPr lang="en-GB" sz="4000">
            <a:solidFill>
              <a:srgbClr val="FF0000"/>
            </a:solidFill>
          </a:endParaRPr>
        </a:p>
        <a:p>
          <a:r>
            <a:rPr lang="en-GB" sz="4000">
              <a:solidFill>
                <a:srgbClr val="FF0000"/>
              </a:solidFill>
            </a:rPr>
            <a:t>Transform dataclasses</a:t>
          </a:r>
          <a:r>
            <a:rPr lang="en-GB" sz="4000" baseline="0">
              <a:solidFill>
                <a:srgbClr val="FF0000"/>
              </a:solidFill>
            </a:rPr>
            <a:t> into </a:t>
          </a:r>
          <a:r>
            <a:rPr lang="en-GB" sz="4000">
              <a:solidFill>
                <a:srgbClr val="FF0000"/>
              </a:solidFill>
            </a:rPr>
            <a:t>Pydantic models (given</a:t>
          </a:r>
          <a:r>
            <a:rPr lang="en-GB" sz="4000" baseline="0">
              <a:solidFill>
                <a:srgbClr val="FF0000"/>
              </a:solidFill>
            </a:rPr>
            <a:t> by the API)</a:t>
          </a:r>
          <a:endParaRPr lang="en-GB" sz="4000">
            <a:solidFill>
              <a:srgbClr val="FF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B9D00A-912C-4B9D-9447-C3733D94D43C}" name="Tableau2" displayName="Tableau2" ref="T4:T7" totalsRowShown="0" headerRowDxfId="1" headerRowCellStyle="Normal 2" dataCellStyle="Normal 2">
  <autoFilter ref="T4:T7" xr:uid="{21B9D00A-912C-4B9D-9447-C3733D94D43C}"/>
  <tableColumns count="1">
    <tableColumn id="1" xr3:uid="{4CC508C8-0CA8-44F5-A9A3-30D0D471E1F5}" name="loss_type_value" dataCellStyle="Normal 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B48A66-4F51-4675-B59A-30D02724C821}" name="table_output" displayName="table_output" ref="B4:L213" totalsRowShown="0">
  <autoFilter ref="B4:L213" xr:uid="{72B48A66-4F51-4675-B59A-30D02724C821}"/>
  <tableColumns count="11">
    <tableColumn id="2" xr3:uid="{16F8C670-45E4-4632-9CA9-68F36D2BC372}" name="year" dataDxfId="10"/>
    <tableColumn id="1" xr3:uid="{4FB90F54-DF03-4F9F-8CAD-988511ADDF99}" name="day" dataDxfId="9"/>
    <tableColumn id="4" xr3:uid="{F54F2A36-C3B4-4D64-913B-80B4F92872A4}" name="loss" dataDxfId="8"/>
    <tableColumn id="3" xr3:uid="{51604BB2-5797-411C-850C-43EDC50C02D9}" name="loss_type"/>
    <tableColumn id="5" xr3:uid="{0194741B-2A61-48BA-8103-903A330CC7C9}" name="peril_id" dataDxfId="7"/>
    <tableColumn id="6" xr3:uid="{E54A0B12-044D-4E0C-9B01-A32E366C92F3}" name="peril" dataDxfId="6"/>
    <tableColumn id="7" xr3:uid="{5E485DEF-DCFE-44A8-AA5E-8AFC5E998607}" name="region" dataDxfId="5"/>
    <tableColumn id="10" xr3:uid="{A4CD15C0-4E2B-4D56-AF54-58C0CF8A8EAA}" name="model_hash" dataDxfId="2"/>
    <tableColumn id="9" xr3:uid="{3F4212F3-EEDA-4A65-A619-202DD05EC1C3}" name="model" dataDxfId="3"/>
    <tableColumn id="8" xr3:uid="{E9FB3E7C-7642-4284-9BE8-4E12B633A414}" name="line_of_business" dataDxfId="4"/>
    <tableColumn id="11" xr3:uid="{36A84930-54AD-43C0-BFF8-F0343275A33C}" name="modelfile_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07037-3971-4F96-8881-4090E5D98D28}">
  <sheetPr codeName="Feuil3">
    <tabColor theme="7" tint="0.79998168889431442"/>
  </sheetPr>
  <dimension ref="B2:P7"/>
  <sheetViews>
    <sheetView showGridLines="0" workbookViewId="0"/>
  </sheetViews>
  <sheetFormatPr baseColWidth="10" defaultRowHeight="12.75" x14ac:dyDescent="0.2"/>
  <cols>
    <col min="1" max="16384" width="11.42578125" style="2"/>
  </cols>
  <sheetData>
    <row r="2" spans="2:16" ht="23.25" x14ac:dyDescent="0.35">
      <c r="B2" s="1" t="s">
        <v>0</v>
      </c>
    </row>
    <row r="4" spans="2:16" x14ac:dyDescent="0.2">
      <c r="B4" s="3" t="s">
        <v>1</v>
      </c>
      <c r="C4" s="4">
        <v>2</v>
      </c>
    </row>
    <row r="5" spans="2:16" x14ac:dyDescent="0.2">
      <c r="B5" s="3" t="s">
        <v>2</v>
      </c>
      <c r="C5" s="5" t="str">
        <f>GetParentPath(C4) &amp; "\engine"</f>
        <v>C:\Users\Alpha\Documents\mywebapps\train_sqla\engine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7"/>
    </row>
    <row r="6" spans="2:16" x14ac:dyDescent="0.2">
      <c r="B6" s="3" t="s">
        <v>3</v>
      </c>
      <c r="C6" s="5" t="str">
        <f>GetParentPath(C4) &amp; "\.venv\Scripts\python.exe"</f>
        <v>C:\Users\Alpha\Documents\mywebapps\train_sqla\.venv\Scripts\python.exe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7"/>
    </row>
    <row r="7" spans="2:16" x14ac:dyDescent="0.2">
      <c r="B7" s="3" t="s">
        <v>4</v>
      </c>
      <c r="C7" s="5" t="str">
        <f>GetCurrentPath() &amp; "\" &amp; GetThisWorkbookName() &amp; ".py"</f>
        <v>C:\Users\Alpha\Documents\mywebapps\train_sqla\pyxl\model\pyxl_create_frequency_severity_model.py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2089B-C159-4CE0-AB6F-8688EA11AB40}">
  <sheetPr codeName="Feuil1">
    <tabColor theme="7" tint="0.79998168889431442"/>
  </sheetPr>
  <dimension ref="B2:T29"/>
  <sheetViews>
    <sheetView showGridLines="0" tabSelected="1" workbookViewId="0">
      <selection activeCell="D2" sqref="D2"/>
    </sheetView>
  </sheetViews>
  <sheetFormatPr baseColWidth="10" defaultColWidth="11.42578125" defaultRowHeight="12.75" x14ac:dyDescent="0.2"/>
  <cols>
    <col min="1" max="1" width="11.42578125" style="2"/>
    <col min="2" max="2" width="19.28515625" style="2" customWidth="1"/>
    <col min="3" max="19" width="11.42578125" style="2"/>
    <col min="20" max="20" width="17" style="2" customWidth="1"/>
    <col min="21" max="16384" width="11.42578125" style="2"/>
  </cols>
  <sheetData>
    <row r="2" spans="2:20" ht="23.25" x14ac:dyDescent="0.35">
      <c r="B2" s="1" t="s">
        <v>5</v>
      </c>
    </row>
    <row r="3" spans="2:20" ht="23.25" x14ac:dyDescent="0.35">
      <c r="B3" s="1"/>
    </row>
    <row r="4" spans="2:20" x14ac:dyDescent="0.2">
      <c r="B4" s="3" t="s">
        <v>6</v>
      </c>
      <c r="C4" s="8">
        <v>4000000</v>
      </c>
      <c r="T4" s="11" t="s">
        <v>33</v>
      </c>
    </row>
    <row r="5" spans="2:20" x14ac:dyDescent="0.2">
      <c r="B5" s="3"/>
      <c r="C5" s="3"/>
      <c r="T5" s="2" t="s">
        <v>34</v>
      </c>
    </row>
    <row r="6" spans="2:20" x14ac:dyDescent="0.2">
      <c r="B6" s="3" t="s">
        <v>24</v>
      </c>
      <c r="C6" s="8" t="s">
        <v>25</v>
      </c>
      <c r="T6" s="2" t="s">
        <v>35</v>
      </c>
    </row>
    <row r="7" spans="2:20" x14ac:dyDescent="0.2">
      <c r="B7" s="3" t="s">
        <v>26</v>
      </c>
      <c r="C7" s="10">
        <v>3</v>
      </c>
      <c r="T7" s="2" t="s">
        <v>36</v>
      </c>
    </row>
    <row r="8" spans="2:20" x14ac:dyDescent="0.2">
      <c r="B8" s="3" t="s">
        <v>11</v>
      </c>
      <c r="C8" s="10"/>
    </row>
    <row r="9" spans="2:20" x14ac:dyDescent="0.2">
      <c r="B9" s="3" t="s">
        <v>27</v>
      </c>
      <c r="C9" s="10"/>
    </row>
    <row r="10" spans="2:20" x14ac:dyDescent="0.2">
      <c r="B10" s="3" t="s">
        <v>28</v>
      </c>
      <c r="C10" s="10"/>
    </row>
    <row r="11" spans="2:20" x14ac:dyDescent="0.2">
      <c r="B11" s="3" t="s">
        <v>29</v>
      </c>
      <c r="C11" s="10"/>
    </row>
    <row r="13" spans="2:20" x14ac:dyDescent="0.2">
      <c r="B13" s="3" t="s">
        <v>7</v>
      </c>
      <c r="C13" s="4" t="s">
        <v>8</v>
      </c>
    </row>
    <row r="14" spans="2:20" x14ac:dyDescent="0.2">
      <c r="B14" s="3" t="s">
        <v>30</v>
      </c>
      <c r="C14" s="10">
        <v>1000</v>
      </c>
    </row>
    <row r="15" spans="2:20" x14ac:dyDescent="0.2">
      <c r="B15" s="3" t="s">
        <v>9</v>
      </c>
      <c r="C15" s="10">
        <v>2</v>
      </c>
    </row>
    <row r="16" spans="2:20" customFormat="1" ht="15" x14ac:dyDescent="0.25">
      <c r="B16" s="3" t="s">
        <v>10</v>
      </c>
      <c r="C16" s="10"/>
    </row>
    <row r="17" spans="2:3" x14ac:dyDescent="0.2">
      <c r="B17" s="3" t="s">
        <v>31</v>
      </c>
      <c r="C17" s="10"/>
    </row>
    <row r="18" spans="2:3" x14ac:dyDescent="0.2">
      <c r="B18" s="3" t="s">
        <v>32</v>
      </c>
      <c r="C18" s="10"/>
    </row>
    <row r="19" spans="2:3" customFormat="1" ht="15" x14ac:dyDescent="0.25"/>
    <row r="20" spans="2:3" customFormat="1" ht="15" x14ac:dyDescent="0.25">
      <c r="B20" s="3" t="s">
        <v>38</v>
      </c>
      <c r="C20" s="8">
        <v>10000</v>
      </c>
    </row>
    <row r="21" spans="2:3" customFormat="1" ht="15" x14ac:dyDescent="0.25"/>
    <row r="22" spans="2:3" x14ac:dyDescent="0.2">
      <c r="B22" s="13" t="s">
        <v>12</v>
      </c>
      <c r="C22" s="4" t="s">
        <v>34</v>
      </c>
    </row>
    <row r="24" spans="2:3" x14ac:dyDescent="0.2">
      <c r="B24" s="3" t="s">
        <v>18</v>
      </c>
      <c r="C24" s="10"/>
    </row>
    <row r="25" spans="2:3" x14ac:dyDescent="0.2">
      <c r="B25" s="3" t="s">
        <v>19</v>
      </c>
      <c r="C25" s="10"/>
    </row>
    <row r="26" spans="2:3" x14ac:dyDescent="0.2">
      <c r="B26" s="3" t="s">
        <v>20</v>
      </c>
      <c r="C26" s="10"/>
    </row>
    <row r="27" spans="2:3" x14ac:dyDescent="0.2">
      <c r="B27" s="3" t="s">
        <v>22</v>
      </c>
      <c r="C27" s="10"/>
    </row>
    <row r="28" spans="2:3" x14ac:dyDescent="0.2">
      <c r="B28" s="3" t="s">
        <v>23</v>
      </c>
      <c r="C28" s="10"/>
    </row>
    <row r="29" spans="2:3" x14ac:dyDescent="0.2">
      <c r="B29" s="3" t="s">
        <v>21</v>
      </c>
      <c r="C29" s="10"/>
    </row>
  </sheetData>
  <phoneticPr fontId="5" type="noConversion"/>
  <dataValidations disablePrompts="1" count="1">
    <dataValidation type="list" allowBlank="1" showInputMessage="1" showErrorMessage="1" sqref="C22" xr:uid="{8486E99D-BE42-4B6E-9EA7-0E3CA72D3E6D}">
      <formula1>$T$5:$T$7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DC458-84AD-4F55-9229-BD923ECD5467}">
  <sheetPr codeName="Feuil2">
    <tabColor theme="8" tint="0.79998168889431442"/>
  </sheetPr>
  <dimension ref="B2:L213"/>
  <sheetViews>
    <sheetView showGridLines="0" workbookViewId="0">
      <selection activeCell="F4" sqref="F4:K4"/>
    </sheetView>
  </sheetViews>
  <sheetFormatPr baseColWidth="10" defaultRowHeight="15" x14ac:dyDescent="0.25"/>
  <cols>
    <col min="2" max="2" width="12.42578125" customWidth="1"/>
    <col min="3" max="3" width="6.5703125" bestFit="1" customWidth="1"/>
    <col min="4" max="4" width="11.28515625" bestFit="1" customWidth="1"/>
    <col min="5" max="5" width="11.7109375" bestFit="1" customWidth="1"/>
    <col min="6" max="6" width="10.140625" bestFit="1" customWidth="1"/>
    <col min="7" max="7" width="7.42578125" bestFit="1" customWidth="1"/>
    <col min="8" max="8" width="9" bestFit="1" customWidth="1"/>
    <col min="9" max="9" width="14.140625" bestFit="1" customWidth="1"/>
    <col min="10" max="10" width="9" bestFit="1" customWidth="1"/>
    <col min="11" max="11" width="18.42578125" bestFit="1" customWidth="1"/>
    <col min="12" max="12" width="14.7109375" bestFit="1" customWidth="1"/>
  </cols>
  <sheetData>
    <row r="2" spans="2:12" ht="23.25" x14ac:dyDescent="0.35">
      <c r="B2" s="1" t="s">
        <v>14</v>
      </c>
    </row>
    <row r="4" spans="2:12" x14ac:dyDescent="0.25">
      <c r="B4" t="s">
        <v>15</v>
      </c>
      <c r="C4" t="s">
        <v>17</v>
      </c>
      <c r="D4" t="s">
        <v>16</v>
      </c>
      <c r="E4" t="s">
        <v>12</v>
      </c>
      <c r="F4" s="12" t="s">
        <v>18</v>
      </c>
      <c r="G4" s="12" t="s">
        <v>19</v>
      </c>
      <c r="H4" s="12" t="s">
        <v>20</v>
      </c>
      <c r="I4" s="12" t="s">
        <v>22</v>
      </c>
      <c r="J4" s="12" t="s">
        <v>23</v>
      </c>
      <c r="K4" s="12" t="s">
        <v>21</v>
      </c>
      <c r="L4" t="s">
        <v>37</v>
      </c>
    </row>
    <row r="5" spans="2:12" x14ac:dyDescent="0.25">
      <c r="B5" s="9">
        <v>1</v>
      </c>
      <c r="C5" s="9"/>
      <c r="D5" s="9">
        <v>5368559</v>
      </c>
      <c r="E5" t="s">
        <v>13</v>
      </c>
      <c r="F5" s="9"/>
      <c r="G5" s="9"/>
      <c r="H5" s="9"/>
      <c r="I5" s="9"/>
      <c r="J5" s="9"/>
      <c r="K5" s="9"/>
      <c r="L5" s="9"/>
    </row>
    <row r="6" spans="2:12" x14ac:dyDescent="0.25">
      <c r="B6" s="9">
        <v>1</v>
      </c>
      <c r="C6" s="9"/>
      <c r="D6" s="9">
        <v>4359020</v>
      </c>
      <c r="E6" t="s">
        <v>13</v>
      </c>
      <c r="F6" s="9"/>
      <c r="G6" s="9"/>
      <c r="H6" s="9"/>
      <c r="I6" s="9"/>
      <c r="J6" s="9"/>
      <c r="K6" s="9"/>
      <c r="L6" s="9"/>
    </row>
    <row r="7" spans="2:12" x14ac:dyDescent="0.25">
      <c r="B7" s="9">
        <v>2</v>
      </c>
      <c r="C7" s="9"/>
      <c r="D7" s="9">
        <v>5584165</v>
      </c>
      <c r="E7" t="s">
        <v>13</v>
      </c>
      <c r="F7" s="9"/>
      <c r="G7" s="9"/>
      <c r="H7" s="9"/>
      <c r="I7" s="9"/>
      <c r="J7" s="9"/>
      <c r="K7" s="9"/>
      <c r="L7" s="9"/>
    </row>
    <row r="8" spans="2:12" x14ac:dyDescent="0.25">
      <c r="B8" s="9">
        <v>4</v>
      </c>
      <c r="C8" s="9"/>
      <c r="D8" s="9">
        <v>5379231</v>
      </c>
      <c r="E8" t="s">
        <v>13</v>
      </c>
      <c r="F8" s="9"/>
      <c r="G8" s="9"/>
      <c r="H8" s="9"/>
      <c r="I8" s="9"/>
      <c r="J8" s="9"/>
      <c r="K8" s="9"/>
      <c r="L8" s="9"/>
    </row>
    <row r="9" spans="2:12" x14ac:dyDescent="0.25">
      <c r="B9" s="9">
        <v>4</v>
      </c>
      <c r="C9" s="9"/>
      <c r="D9" s="9">
        <v>8796442</v>
      </c>
      <c r="E9" t="s">
        <v>13</v>
      </c>
      <c r="F9" s="9"/>
      <c r="G9" s="9"/>
      <c r="H9" s="9"/>
      <c r="I9" s="9"/>
      <c r="J9" s="9"/>
      <c r="K9" s="9"/>
      <c r="L9" s="9"/>
    </row>
    <row r="10" spans="2:12" x14ac:dyDescent="0.25">
      <c r="B10" s="9">
        <v>5</v>
      </c>
      <c r="C10" s="9"/>
      <c r="D10" s="9">
        <v>4298325</v>
      </c>
      <c r="E10" t="s">
        <v>13</v>
      </c>
      <c r="F10" s="9"/>
      <c r="G10" s="9"/>
      <c r="H10" s="9"/>
      <c r="I10" s="9"/>
      <c r="J10" s="9"/>
      <c r="K10" s="9"/>
      <c r="L10" s="9"/>
    </row>
    <row r="11" spans="2:12" x14ac:dyDescent="0.25">
      <c r="B11" s="9">
        <v>5</v>
      </c>
      <c r="C11" s="9"/>
      <c r="D11" s="9">
        <v>6054278</v>
      </c>
      <c r="E11" t="s">
        <v>13</v>
      </c>
      <c r="F11" s="9"/>
      <c r="G11" s="9"/>
      <c r="H11" s="9"/>
      <c r="I11" s="9"/>
      <c r="J11" s="9"/>
      <c r="K11" s="9"/>
      <c r="L11" s="9"/>
    </row>
    <row r="12" spans="2:12" x14ac:dyDescent="0.25">
      <c r="B12" s="9">
        <v>7</v>
      </c>
      <c r="C12" s="9"/>
      <c r="D12" s="9">
        <v>12237174</v>
      </c>
      <c r="E12" t="s">
        <v>13</v>
      </c>
      <c r="F12" s="9"/>
      <c r="G12" s="9"/>
      <c r="H12" s="9"/>
      <c r="I12" s="9"/>
      <c r="J12" s="9"/>
      <c r="K12" s="9"/>
      <c r="L12" s="9"/>
    </row>
    <row r="13" spans="2:12" x14ac:dyDescent="0.25">
      <c r="B13" s="9">
        <v>8</v>
      </c>
      <c r="C13" s="9"/>
      <c r="D13" s="9">
        <v>11806611</v>
      </c>
      <c r="E13" t="s">
        <v>13</v>
      </c>
      <c r="F13" s="9"/>
      <c r="G13" s="9"/>
      <c r="H13" s="9"/>
      <c r="I13" s="9"/>
      <c r="J13" s="9"/>
      <c r="K13" s="9"/>
      <c r="L13" s="9"/>
    </row>
    <row r="14" spans="2:12" x14ac:dyDescent="0.25">
      <c r="B14" s="9">
        <v>9</v>
      </c>
      <c r="C14" s="9"/>
      <c r="D14" s="9">
        <v>11854165</v>
      </c>
      <c r="E14" t="s">
        <v>13</v>
      </c>
      <c r="F14" s="9"/>
      <c r="G14" s="9"/>
      <c r="H14" s="9"/>
      <c r="I14" s="9"/>
      <c r="J14" s="9"/>
      <c r="K14" s="9"/>
      <c r="L14" s="9"/>
    </row>
    <row r="15" spans="2:12" x14ac:dyDescent="0.25">
      <c r="B15" s="9">
        <v>9</v>
      </c>
      <c r="C15" s="9"/>
      <c r="D15" s="9">
        <v>51710577</v>
      </c>
      <c r="E15" t="s">
        <v>13</v>
      </c>
      <c r="F15" s="9"/>
      <c r="G15" s="9"/>
      <c r="H15" s="9"/>
      <c r="I15" s="9"/>
      <c r="J15" s="9"/>
      <c r="K15" s="9"/>
      <c r="L15" s="9"/>
    </row>
    <row r="16" spans="2:12" x14ac:dyDescent="0.25">
      <c r="B16" s="9">
        <v>9</v>
      </c>
      <c r="C16" s="9"/>
      <c r="D16" s="9">
        <v>10009413</v>
      </c>
      <c r="E16" t="s">
        <v>13</v>
      </c>
      <c r="F16" s="9"/>
      <c r="G16" s="9"/>
      <c r="H16" s="9"/>
      <c r="I16" s="9"/>
      <c r="J16" s="9"/>
      <c r="K16" s="9"/>
      <c r="L16" s="9"/>
    </row>
    <row r="17" spans="2:12" x14ac:dyDescent="0.25">
      <c r="B17" s="9">
        <v>9</v>
      </c>
      <c r="C17" s="9"/>
      <c r="D17" s="9">
        <v>8184866</v>
      </c>
      <c r="E17" t="s">
        <v>13</v>
      </c>
      <c r="F17" s="9"/>
      <c r="G17" s="9"/>
      <c r="H17" s="9"/>
      <c r="I17" s="9"/>
      <c r="J17" s="9"/>
      <c r="K17" s="9"/>
      <c r="L17" s="9"/>
    </row>
    <row r="18" spans="2:12" x14ac:dyDescent="0.25">
      <c r="B18" s="9">
        <v>11</v>
      </c>
      <c r="C18" s="9"/>
      <c r="D18" s="9">
        <v>4969450</v>
      </c>
      <c r="E18" t="s">
        <v>13</v>
      </c>
      <c r="F18" s="9"/>
      <c r="G18" s="9"/>
      <c r="H18" s="9"/>
      <c r="I18" s="9"/>
      <c r="J18" s="9"/>
      <c r="K18" s="9"/>
      <c r="L18" s="9"/>
    </row>
    <row r="19" spans="2:12" x14ac:dyDescent="0.25">
      <c r="B19" s="9">
        <v>12</v>
      </c>
      <c r="C19" s="9"/>
      <c r="D19" s="9">
        <v>4932833</v>
      </c>
      <c r="E19" t="s">
        <v>13</v>
      </c>
      <c r="F19" s="9"/>
      <c r="G19" s="9"/>
      <c r="H19" s="9"/>
      <c r="I19" s="9"/>
      <c r="J19" s="9"/>
      <c r="K19" s="9"/>
      <c r="L19" s="9"/>
    </row>
    <row r="20" spans="2:12" x14ac:dyDescent="0.25">
      <c r="B20" s="9">
        <v>12</v>
      </c>
      <c r="C20" s="9"/>
      <c r="D20" s="9">
        <v>8650334</v>
      </c>
      <c r="E20" t="s">
        <v>13</v>
      </c>
      <c r="F20" s="9"/>
      <c r="G20" s="9"/>
      <c r="H20" s="9"/>
      <c r="I20" s="9"/>
      <c r="J20" s="9"/>
      <c r="K20" s="9"/>
      <c r="L20" s="9"/>
    </row>
    <row r="21" spans="2:12" x14ac:dyDescent="0.25">
      <c r="B21" s="9">
        <v>12</v>
      </c>
      <c r="C21" s="9"/>
      <c r="D21" s="9">
        <v>5947893</v>
      </c>
      <c r="E21" t="s">
        <v>13</v>
      </c>
      <c r="F21" s="9"/>
      <c r="G21" s="9"/>
      <c r="H21" s="9"/>
      <c r="I21" s="9"/>
      <c r="J21" s="9"/>
      <c r="K21" s="9"/>
      <c r="L21" s="9"/>
    </row>
    <row r="22" spans="2:12" x14ac:dyDescent="0.25">
      <c r="B22" s="9">
        <v>12</v>
      </c>
      <c r="C22" s="9"/>
      <c r="D22" s="9">
        <v>6291327</v>
      </c>
      <c r="E22" t="s">
        <v>13</v>
      </c>
      <c r="F22" s="9"/>
      <c r="G22" s="9"/>
      <c r="H22" s="9"/>
      <c r="I22" s="9"/>
      <c r="J22" s="9"/>
      <c r="K22" s="9"/>
      <c r="L22" s="9"/>
    </row>
    <row r="23" spans="2:12" x14ac:dyDescent="0.25">
      <c r="B23" s="9">
        <v>13</v>
      </c>
      <c r="C23" s="9"/>
      <c r="D23" s="9">
        <v>4862804</v>
      </c>
      <c r="E23" t="s">
        <v>13</v>
      </c>
      <c r="F23" s="9"/>
      <c r="G23" s="9"/>
      <c r="H23" s="9"/>
      <c r="I23" s="9"/>
      <c r="J23" s="9"/>
      <c r="K23" s="9"/>
      <c r="L23" s="9"/>
    </row>
    <row r="24" spans="2:12" x14ac:dyDescent="0.25">
      <c r="B24" s="9">
        <v>13</v>
      </c>
      <c r="C24" s="9"/>
      <c r="D24" s="9">
        <v>6401214</v>
      </c>
      <c r="E24" t="s">
        <v>13</v>
      </c>
      <c r="F24" s="9"/>
      <c r="G24" s="9"/>
      <c r="H24" s="9"/>
      <c r="I24" s="9"/>
      <c r="J24" s="9"/>
      <c r="K24" s="9"/>
      <c r="L24" s="9"/>
    </row>
    <row r="25" spans="2:12" x14ac:dyDescent="0.25">
      <c r="B25" s="9">
        <v>14</v>
      </c>
      <c r="C25" s="9"/>
      <c r="D25" s="9">
        <v>18266026</v>
      </c>
      <c r="E25" t="s">
        <v>13</v>
      </c>
      <c r="F25" s="9"/>
      <c r="G25" s="9"/>
      <c r="H25" s="9"/>
      <c r="I25" s="9"/>
      <c r="J25" s="9"/>
      <c r="K25" s="9"/>
      <c r="L25" s="9"/>
    </row>
    <row r="26" spans="2:12" x14ac:dyDescent="0.25">
      <c r="B26" s="9">
        <v>14</v>
      </c>
      <c r="C26" s="9"/>
      <c r="D26" s="9">
        <v>5832376</v>
      </c>
      <c r="E26" t="s">
        <v>13</v>
      </c>
      <c r="F26" s="9"/>
      <c r="G26" s="9"/>
      <c r="H26" s="9"/>
      <c r="I26" s="9"/>
      <c r="J26" s="9"/>
      <c r="K26" s="9"/>
      <c r="L26" s="9"/>
    </row>
    <row r="27" spans="2:12" x14ac:dyDescent="0.25">
      <c r="B27" s="9">
        <v>15</v>
      </c>
      <c r="C27" s="9"/>
      <c r="D27" s="9">
        <v>23097360</v>
      </c>
      <c r="E27" t="s">
        <v>13</v>
      </c>
      <c r="F27" s="9"/>
      <c r="G27" s="9"/>
      <c r="H27" s="9"/>
      <c r="I27" s="9"/>
      <c r="J27" s="9"/>
      <c r="K27" s="9"/>
      <c r="L27" s="9"/>
    </row>
    <row r="28" spans="2:12" x14ac:dyDescent="0.25">
      <c r="B28" s="9">
        <v>15</v>
      </c>
      <c r="C28" s="9"/>
      <c r="D28" s="9">
        <v>12617282</v>
      </c>
      <c r="E28" t="s">
        <v>13</v>
      </c>
      <c r="F28" s="9"/>
      <c r="G28" s="9"/>
      <c r="H28" s="9"/>
      <c r="I28" s="9"/>
      <c r="J28" s="9"/>
      <c r="K28" s="9"/>
      <c r="L28" s="9"/>
    </row>
    <row r="29" spans="2:12" x14ac:dyDescent="0.25">
      <c r="B29" s="9">
        <v>15</v>
      </c>
      <c r="C29" s="9"/>
      <c r="D29" s="9">
        <v>15369399</v>
      </c>
      <c r="E29" t="s">
        <v>13</v>
      </c>
      <c r="F29" s="9"/>
      <c r="G29" s="9"/>
      <c r="H29" s="9"/>
      <c r="I29" s="9"/>
      <c r="J29" s="9"/>
      <c r="K29" s="9"/>
      <c r="L29" s="9"/>
    </row>
    <row r="30" spans="2:12" x14ac:dyDescent="0.25">
      <c r="B30" s="9">
        <v>16</v>
      </c>
      <c r="C30" s="9"/>
      <c r="D30" s="9">
        <v>4357568</v>
      </c>
      <c r="E30" t="s">
        <v>13</v>
      </c>
      <c r="F30" s="9"/>
      <c r="G30" s="9"/>
      <c r="H30" s="9"/>
      <c r="I30" s="9"/>
      <c r="J30" s="9"/>
      <c r="K30" s="9"/>
      <c r="L30" s="9"/>
    </row>
    <row r="31" spans="2:12" x14ac:dyDescent="0.25">
      <c r="B31" s="9">
        <v>17</v>
      </c>
      <c r="C31" s="9"/>
      <c r="D31" s="9">
        <v>6931642</v>
      </c>
      <c r="E31" t="s">
        <v>13</v>
      </c>
      <c r="F31" s="9"/>
      <c r="G31" s="9"/>
      <c r="H31" s="9"/>
      <c r="I31" s="9"/>
      <c r="J31" s="9"/>
      <c r="K31" s="9"/>
      <c r="L31" s="9"/>
    </row>
    <row r="32" spans="2:12" x14ac:dyDescent="0.25">
      <c r="B32" s="9">
        <v>17</v>
      </c>
      <c r="C32" s="9"/>
      <c r="D32" s="9">
        <v>6000419</v>
      </c>
      <c r="E32" t="s">
        <v>13</v>
      </c>
      <c r="F32" s="9"/>
      <c r="G32" s="9"/>
      <c r="H32" s="9"/>
      <c r="I32" s="9"/>
      <c r="J32" s="9"/>
      <c r="K32" s="9"/>
      <c r="L32" s="9"/>
    </row>
    <row r="33" spans="2:12" x14ac:dyDescent="0.25">
      <c r="B33" s="9">
        <v>18</v>
      </c>
      <c r="C33" s="9"/>
      <c r="D33" s="9">
        <v>5362195</v>
      </c>
      <c r="E33" t="s">
        <v>13</v>
      </c>
      <c r="F33" s="9"/>
      <c r="G33" s="9"/>
      <c r="H33" s="9"/>
      <c r="I33" s="9"/>
      <c r="J33" s="9"/>
      <c r="K33" s="9"/>
      <c r="L33" s="9"/>
    </row>
    <row r="34" spans="2:12" x14ac:dyDescent="0.25">
      <c r="B34" s="9">
        <v>18</v>
      </c>
      <c r="C34" s="9"/>
      <c r="D34" s="9">
        <v>6495182</v>
      </c>
      <c r="E34" t="s">
        <v>13</v>
      </c>
      <c r="F34" s="9"/>
      <c r="G34" s="9"/>
      <c r="H34" s="9"/>
      <c r="I34" s="9"/>
      <c r="J34" s="9"/>
      <c r="K34" s="9"/>
      <c r="L34" s="9"/>
    </row>
    <row r="35" spans="2:12" x14ac:dyDescent="0.25">
      <c r="B35" s="9">
        <v>18</v>
      </c>
      <c r="C35" s="9"/>
      <c r="D35" s="9">
        <v>4368643</v>
      </c>
      <c r="E35" t="s">
        <v>13</v>
      </c>
      <c r="F35" s="9"/>
      <c r="G35" s="9"/>
      <c r="H35" s="9"/>
      <c r="I35" s="9"/>
      <c r="J35" s="9"/>
      <c r="K35" s="9"/>
      <c r="L35" s="9"/>
    </row>
    <row r="36" spans="2:12" x14ac:dyDescent="0.25">
      <c r="B36" s="9">
        <v>18</v>
      </c>
      <c r="C36" s="9"/>
      <c r="D36" s="9">
        <v>5822105</v>
      </c>
      <c r="E36" t="s">
        <v>13</v>
      </c>
      <c r="F36" s="9"/>
      <c r="G36" s="9"/>
      <c r="H36" s="9"/>
      <c r="I36" s="9"/>
      <c r="J36" s="9"/>
      <c r="K36" s="9"/>
      <c r="L36" s="9"/>
    </row>
    <row r="37" spans="2:12" x14ac:dyDescent="0.25">
      <c r="B37" s="9">
        <v>18</v>
      </c>
      <c r="C37" s="9"/>
      <c r="D37" s="9">
        <v>5158209</v>
      </c>
      <c r="E37" t="s">
        <v>13</v>
      </c>
      <c r="F37" s="9"/>
      <c r="G37" s="9"/>
      <c r="H37" s="9"/>
      <c r="I37" s="9"/>
      <c r="J37" s="9"/>
      <c r="K37" s="9"/>
      <c r="L37" s="9"/>
    </row>
    <row r="38" spans="2:12" x14ac:dyDescent="0.25">
      <c r="B38" s="9">
        <v>18</v>
      </c>
      <c r="C38" s="9"/>
      <c r="D38" s="9">
        <v>10964454</v>
      </c>
      <c r="E38" t="s">
        <v>13</v>
      </c>
      <c r="F38" s="9"/>
      <c r="G38" s="9"/>
      <c r="H38" s="9"/>
      <c r="I38" s="9"/>
      <c r="J38" s="9"/>
      <c r="K38" s="9"/>
      <c r="L38" s="9"/>
    </row>
    <row r="39" spans="2:12" x14ac:dyDescent="0.25">
      <c r="B39" s="9">
        <v>19</v>
      </c>
      <c r="C39" s="9"/>
      <c r="D39" s="9">
        <v>14097307</v>
      </c>
      <c r="E39" t="s">
        <v>13</v>
      </c>
      <c r="F39" s="9"/>
      <c r="G39" s="9"/>
      <c r="H39" s="9"/>
      <c r="I39" s="9"/>
      <c r="J39" s="9"/>
      <c r="K39" s="9"/>
      <c r="L39" s="9"/>
    </row>
    <row r="40" spans="2:12" x14ac:dyDescent="0.25">
      <c r="B40" s="9">
        <v>19</v>
      </c>
      <c r="C40" s="9"/>
      <c r="D40" s="9">
        <v>5377664</v>
      </c>
      <c r="E40" t="s">
        <v>13</v>
      </c>
      <c r="F40" s="9"/>
      <c r="G40" s="9"/>
      <c r="H40" s="9"/>
      <c r="I40" s="9"/>
      <c r="J40" s="9"/>
      <c r="K40" s="9"/>
      <c r="L40" s="9"/>
    </row>
    <row r="41" spans="2:12" x14ac:dyDescent="0.25">
      <c r="B41" s="9">
        <v>19</v>
      </c>
      <c r="C41" s="9"/>
      <c r="D41" s="9">
        <v>4297249</v>
      </c>
      <c r="E41" t="s">
        <v>13</v>
      </c>
      <c r="F41" s="9"/>
      <c r="G41" s="9"/>
      <c r="H41" s="9"/>
      <c r="I41" s="9"/>
      <c r="J41" s="9"/>
      <c r="K41" s="9"/>
      <c r="L41" s="9"/>
    </row>
    <row r="42" spans="2:12" x14ac:dyDescent="0.25">
      <c r="B42" s="9">
        <v>19</v>
      </c>
      <c r="C42" s="9"/>
      <c r="D42" s="9">
        <v>9309699</v>
      </c>
      <c r="E42" t="s">
        <v>13</v>
      </c>
      <c r="F42" s="9"/>
      <c r="G42" s="9"/>
      <c r="H42" s="9"/>
      <c r="I42" s="9"/>
      <c r="J42" s="9"/>
      <c r="K42" s="9"/>
      <c r="L42" s="9"/>
    </row>
    <row r="43" spans="2:12" x14ac:dyDescent="0.25">
      <c r="B43" s="9">
        <v>20</v>
      </c>
      <c r="C43" s="9"/>
      <c r="D43" s="9">
        <v>5251588</v>
      </c>
      <c r="E43" t="s">
        <v>13</v>
      </c>
      <c r="F43" s="9"/>
      <c r="G43" s="9"/>
      <c r="H43" s="9"/>
      <c r="I43" s="9"/>
      <c r="J43" s="9"/>
      <c r="K43" s="9"/>
      <c r="L43" s="9"/>
    </row>
    <row r="44" spans="2:12" x14ac:dyDescent="0.25">
      <c r="B44" s="9">
        <v>22</v>
      </c>
      <c r="C44" s="9"/>
      <c r="D44" s="9">
        <v>66540099</v>
      </c>
      <c r="E44" t="s">
        <v>13</v>
      </c>
      <c r="F44" s="9"/>
      <c r="G44" s="9"/>
      <c r="H44" s="9"/>
      <c r="I44" s="9"/>
      <c r="J44" s="9"/>
      <c r="K44" s="9"/>
      <c r="L44" s="9"/>
    </row>
    <row r="45" spans="2:12" x14ac:dyDescent="0.25">
      <c r="B45" s="9">
        <v>22</v>
      </c>
      <c r="C45" s="9"/>
      <c r="D45" s="9">
        <v>7734401</v>
      </c>
      <c r="E45" t="s">
        <v>13</v>
      </c>
      <c r="F45" s="9"/>
      <c r="G45" s="9"/>
      <c r="H45" s="9"/>
      <c r="I45" s="9"/>
      <c r="J45" s="9"/>
      <c r="K45" s="9"/>
      <c r="L45" s="9"/>
    </row>
    <row r="46" spans="2:12" x14ac:dyDescent="0.25">
      <c r="B46" s="9">
        <v>23</v>
      </c>
      <c r="C46" s="9"/>
      <c r="D46" s="9">
        <v>24499772</v>
      </c>
      <c r="E46" t="s">
        <v>13</v>
      </c>
      <c r="F46" s="9"/>
      <c r="G46" s="9"/>
      <c r="H46" s="9"/>
      <c r="I46" s="9"/>
      <c r="J46" s="9"/>
      <c r="K46" s="9"/>
      <c r="L46" s="9"/>
    </row>
    <row r="47" spans="2:12" x14ac:dyDescent="0.25">
      <c r="B47" s="9">
        <v>23</v>
      </c>
      <c r="C47" s="9"/>
      <c r="D47" s="9">
        <v>4923384</v>
      </c>
      <c r="E47" t="s">
        <v>13</v>
      </c>
      <c r="F47" s="9"/>
      <c r="G47" s="9"/>
      <c r="H47" s="9"/>
      <c r="I47" s="9"/>
      <c r="J47" s="9"/>
      <c r="K47" s="9"/>
      <c r="L47" s="9"/>
    </row>
    <row r="48" spans="2:12" x14ac:dyDescent="0.25">
      <c r="B48" s="9">
        <v>24</v>
      </c>
      <c r="C48" s="9"/>
      <c r="D48" s="9">
        <v>4833323</v>
      </c>
      <c r="E48" t="s">
        <v>13</v>
      </c>
      <c r="F48" s="9"/>
      <c r="G48" s="9"/>
      <c r="H48" s="9"/>
      <c r="I48" s="9"/>
      <c r="J48" s="9"/>
      <c r="K48" s="9"/>
      <c r="L48" s="9"/>
    </row>
    <row r="49" spans="2:12" x14ac:dyDescent="0.25">
      <c r="B49" s="9">
        <v>24</v>
      </c>
      <c r="C49" s="9"/>
      <c r="D49" s="9">
        <v>5348587</v>
      </c>
      <c r="E49" t="s">
        <v>13</v>
      </c>
      <c r="F49" s="9"/>
      <c r="G49" s="9"/>
      <c r="H49" s="9"/>
      <c r="I49" s="9"/>
      <c r="J49" s="9"/>
      <c r="K49" s="9"/>
      <c r="L49" s="9"/>
    </row>
    <row r="50" spans="2:12" x14ac:dyDescent="0.25">
      <c r="B50" s="9">
        <v>26</v>
      </c>
      <c r="C50" s="9"/>
      <c r="D50" s="9">
        <v>13119844</v>
      </c>
      <c r="E50" t="s">
        <v>13</v>
      </c>
      <c r="F50" s="9"/>
      <c r="G50" s="9"/>
      <c r="H50" s="9"/>
      <c r="I50" s="9"/>
      <c r="J50" s="9"/>
      <c r="K50" s="9"/>
      <c r="L50" s="9"/>
    </row>
    <row r="51" spans="2:12" x14ac:dyDescent="0.25">
      <c r="B51" s="9">
        <v>26</v>
      </c>
      <c r="C51" s="9"/>
      <c r="D51" s="9">
        <v>7845715</v>
      </c>
      <c r="E51" t="s">
        <v>13</v>
      </c>
      <c r="F51" s="9"/>
      <c r="G51" s="9"/>
      <c r="H51" s="9"/>
      <c r="I51" s="9"/>
      <c r="J51" s="9"/>
      <c r="K51" s="9"/>
      <c r="L51" s="9"/>
    </row>
    <row r="52" spans="2:12" x14ac:dyDescent="0.25">
      <c r="B52" s="9">
        <v>26</v>
      </c>
      <c r="C52" s="9"/>
      <c r="D52" s="9">
        <v>38374135</v>
      </c>
      <c r="E52" t="s">
        <v>13</v>
      </c>
      <c r="F52" s="9"/>
      <c r="G52" s="9"/>
      <c r="H52" s="9"/>
      <c r="I52" s="9"/>
      <c r="J52" s="9"/>
      <c r="K52" s="9"/>
      <c r="L52" s="9"/>
    </row>
    <row r="53" spans="2:12" x14ac:dyDescent="0.25">
      <c r="B53" s="9">
        <v>28</v>
      </c>
      <c r="C53" s="9"/>
      <c r="D53" s="9">
        <v>5873740</v>
      </c>
      <c r="E53" t="s">
        <v>13</v>
      </c>
      <c r="F53" s="9"/>
      <c r="G53" s="9"/>
      <c r="H53" s="9"/>
      <c r="I53" s="9"/>
      <c r="J53" s="9"/>
      <c r="K53" s="9"/>
      <c r="L53" s="9"/>
    </row>
    <row r="54" spans="2:12" x14ac:dyDescent="0.25">
      <c r="B54" s="9">
        <v>29</v>
      </c>
      <c r="C54" s="9"/>
      <c r="D54" s="9">
        <v>4034663</v>
      </c>
      <c r="E54" t="s">
        <v>13</v>
      </c>
      <c r="F54" s="9"/>
      <c r="G54" s="9"/>
      <c r="H54" s="9"/>
      <c r="I54" s="9"/>
      <c r="J54" s="9"/>
      <c r="K54" s="9"/>
      <c r="L54" s="9"/>
    </row>
    <row r="55" spans="2:12" x14ac:dyDescent="0.25">
      <c r="B55" s="9">
        <v>30</v>
      </c>
      <c r="C55" s="9"/>
      <c r="D55" s="9">
        <v>4015948</v>
      </c>
      <c r="E55" t="s">
        <v>13</v>
      </c>
      <c r="F55" s="9"/>
      <c r="G55" s="9"/>
      <c r="H55" s="9"/>
      <c r="I55" s="9"/>
      <c r="J55" s="9"/>
      <c r="K55" s="9"/>
      <c r="L55" s="9"/>
    </row>
    <row r="56" spans="2:12" x14ac:dyDescent="0.25">
      <c r="B56" s="9">
        <v>30</v>
      </c>
      <c r="C56" s="9"/>
      <c r="D56" s="9">
        <v>5177200</v>
      </c>
      <c r="E56" t="s">
        <v>13</v>
      </c>
      <c r="F56" s="9"/>
      <c r="G56" s="9"/>
      <c r="H56" s="9"/>
      <c r="I56" s="9"/>
      <c r="J56" s="9"/>
      <c r="K56" s="9"/>
      <c r="L56" s="9"/>
    </row>
    <row r="57" spans="2:12" x14ac:dyDescent="0.25">
      <c r="B57" s="9">
        <v>30</v>
      </c>
      <c r="C57" s="9"/>
      <c r="D57" s="9">
        <v>22341462</v>
      </c>
      <c r="E57" t="s">
        <v>13</v>
      </c>
      <c r="F57" s="9"/>
      <c r="G57" s="9"/>
      <c r="H57" s="9"/>
      <c r="I57" s="9"/>
      <c r="J57" s="9"/>
      <c r="K57" s="9"/>
      <c r="L57" s="9"/>
    </row>
    <row r="58" spans="2:12" x14ac:dyDescent="0.25">
      <c r="B58" s="9">
        <v>30</v>
      </c>
      <c r="C58" s="9"/>
      <c r="D58" s="9">
        <v>5249580</v>
      </c>
      <c r="E58" t="s">
        <v>13</v>
      </c>
      <c r="F58" s="9"/>
      <c r="G58" s="9"/>
      <c r="H58" s="9"/>
      <c r="I58" s="9"/>
      <c r="J58" s="9"/>
      <c r="K58" s="9"/>
      <c r="L58" s="9"/>
    </row>
    <row r="59" spans="2:12" x14ac:dyDescent="0.25">
      <c r="B59" s="9">
        <v>31</v>
      </c>
      <c r="C59" s="9"/>
      <c r="D59" s="9">
        <v>4733360</v>
      </c>
      <c r="E59" t="s">
        <v>13</v>
      </c>
      <c r="F59" s="9"/>
      <c r="G59" s="9"/>
      <c r="H59" s="9"/>
      <c r="I59" s="9"/>
      <c r="J59" s="9"/>
      <c r="K59" s="9"/>
      <c r="L59" s="9"/>
    </row>
    <row r="60" spans="2:12" x14ac:dyDescent="0.25">
      <c r="B60" s="9">
        <v>31</v>
      </c>
      <c r="C60" s="9"/>
      <c r="D60" s="9">
        <v>7577782</v>
      </c>
      <c r="E60" t="s">
        <v>13</v>
      </c>
      <c r="F60" s="9"/>
      <c r="G60" s="9"/>
      <c r="H60" s="9"/>
      <c r="I60" s="9"/>
      <c r="J60" s="9"/>
      <c r="K60" s="9"/>
      <c r="L60" s="9"/>
    </row>
    <row r="61" spans="2:12" x14ac:dyDescent="0.25">
      <c r="B61" s="9">
        <v>31</v>
      </c>
      <c r="C61" s="9"/>
      <c r="D61" s="9">
        <v>5139893</v>
      </c>
      <c r="E61" t="s">
        <v>13</v>
      </c>
      <c r="F61" s="9"/>
      <c r="G61" s="9"/>
      <c r="H61" s="9"/>
      <c r="I61" s="9"/>
      <c r="J61" s="9"/>
      <c r="K61" s="9"/>
      <c r="L61" s="9"/>
    </row>
    <row r="62" spans="2:12" x14ac:dyDescent="0.25">
      <c r="B62" s="9">
        <v>31</v>
      </c>
      <c r="C62" s="9"/>
      <c r="D62" s="9">
        <v>6700667</v>
      </c>
      <c r="E62" t="s">
        <v>13</v>
      </c>
      <c r="F62" s="9"/>
      <c r="G62" s="9"/>
      <c r="H62" s="9"/>
      <c r="I62" s="9"/>
      <c r="J62" s="9"/>
      <c r="K62" s="9"/>
      <c r="L62" s="9"/>
    </row>
    <row r="63" spans="2:12" x14ac:dyDescent="0.25">
      <c r="B63" s="9">
        <v>32</v>
      </c>
      <c r="C63" s="9"/>
      <c r="D63" s="9">
        <v>4227389</v>
      </c>
      <c r="E63" t="s">
        <v>13</v>
      </c>
      <c r="F63" s="9"/>
      <c r="G63" s="9"/>
      <c r="H63" s="9"/>
      <c r="I63" s="9"/>
      <c r="J63" s="9"/>
      <c r="K63" s="9"/>
      <c r="L63" s="9"/>
    </row>
    <row r="64" spans="2:12" x14ac:dyDescent="0.25">
      <c r="B64" s="9">
        <v>32</v>
      </c>
      <c r="C64" s="9"/>
      <c r="D64" s="9">
        <v>4090135</v>
      </c>
      <c r="E64" t="s">
        <v>13</v>
      </c>
      <c r="F64" s="9"/>
      <c r="G64" s="9"/>
      <c r="H64" s="9"/>
      <c r="I64" s="9"/>
      <c r="J64" s="9"/>
      <c r="K64" s="9"/>
      <c r="L64" s="9"/>
    </row>
    <row r="65" spans="2:12" x14ac:dyDescent="0.25">
      <c r="B65" s="9">
        <v>32</v>
      </c>
      <c r="C65" s="9"/>
      <c r="D65" s="9">
        <v>6728357</v>
      </c>
      <c r="E65" t="s">
        <v>13</v>
      </c>
      <c r="F65" s="9"/>
      <c r="G65" s="9"/>
      <c r="H65" s="9"/>
      <c r="I65" s="9"/>
      <c r="J65" s="9"/>
      <c r="K65" s="9"/>
      <c r="L65" s="9"/>
    </row>
    <row r="66" spans="2:12" x14ac:dyDescent="0.25">
      <c r="B66" s="9">
        <v>33</v>
      </c>
      <c r="C66" s="9"/>
      <c r="D66" s="9">
        <v>4538381</v>
      </c>
      <c r="E66" t="s">
        <v>13</v>
      </c>
      <c r="F66" s="9"/>
      <c r="G66" s="9"/>
      <c r="H66" s="9"/>
      <c r="I66" s="9"/>
      <c r="J66" s="9"/>
      <c r="K66" s="9"/>
      <c r="L66" s="9"/>
    </row>
    <row r="67" spans="2:12" x14ac:dyDescent="0.25">
      <c r="B67" s="9">
        <v>33</v>
      </c>
      <c r="C67" s="9"/>
      <c r="D67" s="9">
        <v>4983800</v>
      </c>
      <c r="E67" t="s">
        <v>13</v>
      </c>
      <c r="F67" s="9"/>
      <c r="G67" s="9"/>
      <c r="H67" s="9"/>
      <c r="I67" s="9"/>
      <c r="J67" s="9"/>
      <c r="K67" s="9"/>
      <c r="L67" s="9"/>
    </row>
    <row r="68" spans="2:12" x14ac:dyDescent="0.25">
      <c r="B68" s="9">
        <v>35</v>
      </c>
      <c r="C68" s="9"/>
      <c r="D68" s="9">
        <v>4468417</v>
      </c>
      <c r="E68" t="s">
        <v>13</v>
      </c>
      <c r="F68" s="9"/>
      <c r="G68" s="9"/>
      <c r="H68" s="9"/>
      <c r="I68" s="9"/>
      <c r="J68" s="9"/>
      <c r="K68" s="9"/>
      <c r="L68" s="9"/>
    </row>
    <row r="69" spans="2:12" x14ac:dyDescent="0.25">
      <c r="B69" s="9">
        <v>35</v>
      </c>
      <c r="C69" s="9"/>
      <c r="D69" s="9">
        <v>4994523</v>
      </c>
      <c r="E69" t="s">
        <v>13</v>
      </c>
      <c r="F69" s="9"/>
      <c r="G69" s="9"/>
      <c r="H69" s="9"/>
      <c r="I69" s="9"/>
      <c r="J69" s="9"/>
      <c r="K69" s="9"/>
      <c r="L69" s="9"/>
    </row>
    <row r="70" spans="2:12" x14ac:dyDescent="0.25">
      <c r="B70" s="9">
        <v>36</v>
      </c>
      <c r="C70" s="9"/>
      <c r="D70" s="9">
        <v>5201699</v>
      </c>
      <c r="E70" t="s">
        <v>13</v>
      </c>
      <c r="F70" s="9"/>
      <c r="G70" s="9"/>
      <c r="H70" s="9"/>
      <c r="I70" s="9"/>
      <c r="J70" s="9"/>
      <c r="K70" s="9"/>
      <c r="L70" s="9"/>
    </row>
    <row r="71" spans="2:12" x14ac:dyDescent="0.25">
      <c r="B71" s="9">
        <v>36</v>
      </c>
      <c r="C71" s="9"/>
      <c r="D71" s="9">
        <v>8132210</v>
      </c>
      <c r="E71" t="s">
        <v>13</v>
      </c>
      <c r="F71" s="9"/>
      <c r="G71" s="9"/>
      <c r="H71" s="9"/>
      <c r="I71" s="9"/>
      <c r="J71" s="9"/>
      <c r="K71" s="9"/>
      <c r="L71" s="9"/>
    </row>
    <row r="72" spans="2:12" x14ac:dyDescent="0.25">
      <c r="B72" s="9">
        <v>36</v>
      </c>
      <c r="C72" s="9"/>
      <c r="D72" s="9">
        <v>5578495</v>
      </c>
      <c r="E72" t="s">
        <v>13</v>
      </c>
      <c r="F72" s="9"/>
      <c r="G72" s="9"/>
      <c r="H72" s="9"/>
      <c r="I72" s="9"/>
      <c r="J72" s="9"/>
      <c r="K72" s="9"/>
      <c r="L72" s="9"/>
    </row>
    <row r="73" spans="2:12" x14ac:dyDescent="0.25">
      <c r="B73" s="9">
        <v>37</v>
      </c>
      <c r="C73" s="9"/>
      <c r="D73" s="9">
        <v>8944416</v>
      </c>
      <c r="E73" t="s">
        <v>13</v>
      </c>
      <c r="F73" s="9"/>
      <c r="G73" s="9"/>
      <c r="H73" s="9"/>
      <c r="I73" s="9"/>
      <c r="J73" s="9"/>
      <c r="K73" s="9"/>
      <c r="L73" s="9"/>
    </row>
    <row r="74" spans="2:12" x14ac:dyDescent="0.25">
      <c r="B74" s="9">
        <v>37</v>
      </c>
      <c r="C74" s="9"/>
      <c r="D74" s="9">
        <v>4965271</v>
      </c>
      <c r="E74" t="s">
        <v>13</v>
      </c>
      <c r="F74" s="9"/>
      <c r="G74" s="9"/>
      <c r="H74" s="9"/>
      <c r="I74" s="9"/>
      <c r="J74" s="9"/>
      <c r="K74" s="9"/>
      <c r="L74" s="9"/>
    </row>
    <row r="75" spans="2:12" x14ac:dyDescent="0.25">
      <c r="B75" s="9">
        <v>37</v>
      </c>
      <c r="C75" s="9"/>
      <c r="D75" s="9">
        <v>6059072</v>
      </c>
      <c r="E75" t="s">
        <v>13</v>
      </c>
      <c r="F75" s="9"/>
      <c r="G75" s="9"/>
      <c r="H75" s="9"/>
      <c r="I75" s="9"/>
      <c r="J75" s="9"/>
      <c r="K75" s="9"/>
      <c r="L75" s="9"/>
    </row>
    <row r="76" spans="2:12" x14ac:dyDescent="0.25">
      <c r="B76" s="9">
        <v>38</v>
      </c>
      <c r="C76" s="9"/>
      <c r="D76" s="9">
        <v>32267857</v>
      </c>
      <c r="E76" t="s">
        <v>13</v>
      </c>
      <c r="F76" s="9"/>
      <c r="G76" s="9"/>
      <c r="H76" s="9"/>
      <c r="I76" s="9"/>
      <c r="J76" s="9"/>
      <c r="K76" s="9"/>
      <c r="L76" s="9"/>
    </row>
    <row r="77" spans="2:12" x14ac:dyDescent="0.25">
      <c r="B77" s="9">
        <v>38</v>
      </c>
      <c r="C77" s="9"/>
      <c r="D77" s="9">
        <v>14081520</v>
      </c>
      <c r="E77" t="s">
        <v>13</v>
      </c>
      <c r="F77" s="9"/>
      <c r="G77" s="9"/>
      <c r="H77" s="9"/>
      <c r="I77" s="9"/>
      <c r="J77" s="9"/>
      <c r="K77" s="9"/>
      <c r="L77" s="9"/>
    </row>
    <row r="78" spans="2:12" x14ac:dyDescent="0.25">
      <c r="B78" s="9">
        <v>39</v>
      </c>
      <c r="C78" s="9"/>
      <c r="D78" s="9">
        <v>38872063</v>
      </c>
      <c r="E78" t="s">
        <v>13</v>
      </c>
      <c r="F78" s="9"/>
      <c r="G78" s="9"/>
      <c r="H78" s="9"/>
      <c r="I78" s="9"/>
      <c r="J78" s="9"/>
      <c r="K78" s="9"/>
      <c r="L78" s="9"/>
    </row>
    <row r="79" spans="2:12" x14ac:dyDescent="0.25">
      <c r="B79" s="9">
        <v>39</v>
      </c>
      <c r="C79" s="9"/>
      <c r="D79" s="9">
        <v>4640358</v>
      </c>
      <c r="E79" t="s">
        <v>13</v>
      </c>
      <c r="F79" s="9"/>
      <c r="G79" s="9"/>
      <c r="H79" s="9"/>
      <c r="I79" s="9"/>
      <c r="J79" s="9"/>
      <c r="K79" s="9"/>
      <c r="L79" s="9"/>
    </row>
    <row r="80" spans="2:12" x14ac:dyDescent="0.25">
      <c r="B80" s="9">
        <v>39</v>
      </c>
      <c r="C80" s="9"/>
      <c r="D80" s="9">
        <v>5089282</v>
      </c>
      <c r="E80" t="s">
        <v>13</v>
      </c>
      <c r="F80" s="9"/>
      <c r="G80" s="9"/>
      <c r="H80" s="9"/>
      <c r="I80" s="9"/>
      <c r="J80" s="9"/>
      <c r="K80" s="9"/>
      <c r="L80" s="9"/>
    </row>
    <row r="81" spans="2:12" x14ac:dyDescent="0.25">
      <c r="B81" s="9">
        <v>39</v>
      </c>
      <c r="C81" s="9"/>
      <c r="D81" s="9">
        <v>43768952</v>
      </c>
      <c r="E81" t="s">
        <v>13</v>
      </c>
      <c r="F81" s="9"/>
      <c r="G81" s="9"/>
      <c r="H81" s="9"/>
      <c r="I81" s="9"/>
      <c r="J81" s="9"/>
      <c r="K81" s="9"/>
      <c r="L81" s="9"/>
    </row>
    <row r="82" spans="2:12" x14ac:dyDescent="0.25">
      <c r="B82" s="9">
        <v>39</v>
      </c>
      <c r="C82" s="9"/>
      <c r="D82" s="9">
        <v>6776418</v>
      </c>
      <c r="E82" t="s">
        <v>13</v>
      </c>
      <c r="F82" s="9"/>
      <c r="G82" s="9"/>
      <c r="H82" s="9"/>
      <c r="I82" s="9"/>
      <c r="J82" s="9"/>
      <c r="K82" s="9"/>
      <c r="L82" s="9"/>
    </row>
    <row r="83" spans="2:12" x14ac:dyDescent="0.25">
      <c r="B83" s="9">
        <v>40</v>
      </c>
      <c r="C83" s="9"/>
      <c r="D83" s="9">
        <v>7189254</v>
      </c>
      <c r="E83" t="s">
        <v>13</v>
      </c>
      <c r="F83" s="9"/>
      <c r="G83" s="9"/>
      <c r="H83" s="9"/>
      <c r="I83" s="9"/>
      <c r="J83" s="9"/>
      <c r="K83" s="9"/>
      <c r="L83" s="9"/>
    </row>
    <row r="84" spans="2:12" x14ac:dyDescent="0.25">
      <c r="B84" s="9">
        <v>40</v>
      </c>
      <c r="C84" s="9"/>
      <c r="D84" s="9">
        <v>4865009</v>
      </c>
      <c r="E84" t="s">
        <v>13</v>
      </c>
      <c r="F84" s="9"/>
      <c r="G84" s="9"/>
      <c r="H84" s="9"/>
      <c r="I84" s="9"/>
      <c r="J84" s="9"/>
      <c r="K84" s="9"/>
      <c r="L84" s="9"/>
    </row>
    <row r="85" spans="2:12" x14ac:dyDescent="0.25">
      <c r="B85" s="9">
        <v>40</v>
      </c>
      <c r="C85" s="9"/>
      <c r="D85" s="9">
        <v>6745192</v>
      </c>
      <c r="E85" t="s">
        <v>13</v>
      </c>
      <c r="F85" s="9"/>
      <c r="G85" s="9"/>
      <c r="H85" s="9"/>
      <c r="I85" s="9"/>
      <c r="J85" s="9"/>
      <c r="K85" s="9"/>
      <c r="L85" s="9"/>
    </row>
    <row r="86" spans="2:12" x14ac:dyDescent="0.25">
      <c r="B86" s="9">
        <v>41</v>
      </c>
      <c r="C86" s="9"/>
      <c r="D86" s="9">
        <v>4496251</v>
      </c>
      <c r="E86" t="s">
        <v>13</v>
      </c>
      <c r="F86" s="9"/>
      <c r="G86" s="9"/>
      <c r="H86" s="9"/>
      <c r="I86" s="9"/>
      <c r="J86" s="9"/>
      <c r="K86" s="9"/>
      <c r="L86" s="9"/>
    </row>
    <row r="87" spans="2:12" x14ac:dyDescent="0.25">
      <c r="B87" s="9">
        <v>41</v>
      </c>
      <c r="C87" s="9"/>
      <c r="D87" s="9">
        <v>4873559</v>
      </c>
      <c r="E87" t="s">
        <v>13</v>
      </c>
      <c r="F87" s="9"/>
      <c r="G87" s="9"/>
      <c r="H87" s="9"/>
      <c r="I87" s="9"/>
      <c r="J87" s="9"/>
      <c r="K87" s="9"/>
      <c r="L87" s="9"/>
    </row>
    <row r="88" spans="2:12" x14ac:dyDescent="0.25">
      <c r="B88" s="9">
        <v>44</v>
      </c>
      <c r="C88" s="9"/>
      <c r="D88" s="9">
        <v>8890797</v>
      </c>
      <c r="E88" t="s">
        <v>13</v>
      </c>
      <c r="F88" s="9"/>
      <c r="G88" s="9"/>
      <c r="H88" s="9"/>
      <c r="I88" s="9"/>
      <c r="J88" s="9"/>
      <c r="K88" s="9"/>
      <c r="L88" s="9"/>
    </row>
    <row r="89" spans="2:12" x14ac:dyDescent="0.25">
      <c r="B89" s="9">
        <v>44</v>
      </c>
      <c r="C89" s="9"/>
      <c r="D89" s="9">
        <v>4721966</v>
      </c>
      <c r="E89" t="s">
        <v>13</v>
      </c>
      <c r="F89" s="9"/>
      <c r="G89" s="9"/>
      <c r="H89" s="9"/>
      <c r="I89" s="9"/>
      <c r="J89" s="9"/>
      <c r="K89" s="9"/>
      <c r="L89" s="9"/>
    </row>
    <row r="90" spans="2:12" x14ac:dyDescent="0.25">
      <c r="B90" s="9">
        <v>45</v>
      </c>
      <c r="C90" s="9"/>
      <c r="D90" s="9">
        <v>4527429</v>
      </c>
      <c r="E90" t="s">
        <v>13</v>
      </c>
      <c r="F90" s="9"/>
      <c r="G90" s="9"/>
      <c r="H90" s="9"/>
      <c r="I90" s="9"/>
      <c r="J90" s="9"/>
      <c r="K90" s="9"/>
      <c r="L90" s="9"/>
    </row>
    <row r="91" spans="2:12" x14ac:dyDescent="0.25">
      <c r="B91" s="9">
        <v>45</v>
      </c>
      <c r="C91" s="9"/>
      <c r="D91" s="9">
        <v>4599057</v>
      </c>
      <c r="E91" t="s">
        <v>13</v>
      </c>
      <c r="F91" s="9"/>
      <c r="G91" s="9"/>
      <c r="H91" s="9"/>
      <c r="I91" s="9"/>
      <c r="J91" s="9"/>
      <c r="K91" s="9"/>
      <c r="L91" s="9"/>
    </row>
    <row r="92" spans="2:12" x14ac:dyDescent="0.25">
      <c r="B92" s="9">
        <v>45</v>
      </c>
      <c r="C92" s="9"/>
      <c r="D92" s="9">
        <v>5337580</v>
      </c>
      <c r="E92" t="s">
        <v>13</v>
      </c>
      <c r="F92" s="9"/>
      <c r="G92" s="9"/>
      <c r="H92" s="9"/>
      <c r="I92" s="9"/>
      <c r="J92" s="9"/>
      <c r="K92" s="9"/>
      <c r="L92" s="9"/>
    </row>
    <row r="93" spans="2:12" x14ac:dyDescent="0.25">
      <c r="B93" s="9">
        <v>45</v>
      </c>
      <c r="C93" s="9"/>
      <c r="D93" s="9">
        <v>10857438</v>
      </c>
      <c r="E93" t="s">
        <v>13</v>
      </c>
      <c r="F93" s="9"/>
      <c r="G93" s="9"/>
      <c r="H93" s="9"/>
      <c r="I93" s="9"/>
      <c r="J93" s="9"/>
      <c r="K93" s="9"/>
      <c r="L93" s="9"/>
    </row>
    <row r="94" spans="2:12" x14ac:dyDescent="0.25">
      <c r="B94" s="9">
        <v>45</v>
      </c>
      <c r="C94" s="9"/>
      <c r="D94" s="9">
        <v>4362257</v>
      </c>
      <c r="E94" t="s">
        <v>13</v>
      </c>
      <c r="F94" s="9"/>
      <c r="G94" s="9"/>
      <c r="H94" s="9"/>
      <c r="I94" s="9"/>
      <c r="J94" s="9"/>
      <c r="K94" s="9"/>
      <c r="L94" s="9"/>
    </row>
    <row r="95" spans="2:12" x14ac:dyDescent="0.25">
      <c r="B95" s="9">
        <v>46</v>
      </c>
      <c r="C95" s="9"/>
      <c r="D95" s="9">
        <v>4757776</v>
      </c>
      <c r="E95" t="s">
        <v>13</v>
      </c>
      <c r="F95" s="9"/>
      <c r="G95" s="9"/>
      <c r="H95" s="9"/>
      <c r="I95" s="9"/>
      <c r="J95" s="9"/>
      <c r="K95" s="9"/>
      <c r="L95" s="9"/>
    </row>
    <row r="96" spans="2:12" x14ac:dyDescent="0.25">
      <c r="B96" s="9">
        <v>46</v>
      </c>
      <c r="C96" s="9"/>
      <c r="D96" s="9">
        <v>6182621</v>
      </c>
      <c r="E96" t="s">
        <v>13</v>
      </c>
      <c r="F96" s="9"/>
      <c r="G96" s="9"/>
      <c r="H96" s="9"/>
      <c r="I96" s="9"/>
      <c r="J96" s="9"/>
      <c r="K96" s="9"/>
      <c r="L96" s="9"/>
    </row>
    <row r="97" spans="2:12" x14ac:dyDescent="0.25">
      <c r="B97" s="9">
        <v>46</v>
      </c>
      <c r="C97" s="9"/>
      <c r="D97" s="9">
        <v>37100279</v>
      </c>
      <c r="E97" t="s">
        <v>13</v>
      </c>
      <c r="F97" s="9"/>
      <c r="G97" s="9"/>
      <c r="H97" s="9"/>
      <c r="I97" s="9"/>
      <c r="J97" s="9"/>
      <c r="K97" s="9"/>
      <c r="L97" s="9"/>
    </row>
    <row r="98" spans="2:12" x14ac:dyDescent="0.25">
      <c r="B98" s="9">
        <v>47</v>
      </c>
      <c r="C98" s="9"/>
      <c r="D98" s="9">
        <v>7797889</v>
      </c>
      <c r="E98" t="s">
        <v>13</v>
      </c>
      <c r="F98" s="9"/>
      <c r="G98" s="9"/>
      <c r="H98" s="9"/>
      <c r="I98" s="9"/>
      <c r="J98" s="9"/>
      <c r="K98" s="9"/>
      <c r="L98" s="9"/>
    </row>
    <row r="99" spans="2:12" x14ac:dyDescent="0.25">
      <c r="B99" s="9">
        <v>47</v>
      </c>
      <c r="C99" s="9"/>
      <c r="D99" s="9">
        <v>10319154</v>
      </c>
      <c r="E99" t="s">
        <v>13</v>
      </c>
      <c r="F99" s="9"/>
      <c r="G99" s="9"/>
      <c r="H99" s="9"/>
      <c r="I99" s="9"/>
      <c r="J99" s="9"/>
      <c r="K99" s="9"/>
      <c r="L99" s="9"/>
    </row>
    <row r="100" spans="2:12" x14ac:dyDescent="0.25">
      <c r="B100" s="9">
        <v>48</v>
      </c>
      <c r="C100" s="9"/>
      <c r="D100" s="9">
        <v>5144560</v>
      </c>
      <c r="E100" t="s">
        <v>13</v>
      </c>
      <c r="F100" s="9"/>
      <c r="G100" s="9"/>
      <c r="H100" s="9"/>
      <c r="I100" s="9"/>
      <c r="J100" s="9"/>
      <c r="K100" s="9"/>
      <c r="L100" s="9"/>
    </row>
    <row r="101" spans="2:12" x14ac:dyDescent="0.25">
      <c r="B101" s="9">
        <v>48</v>
      </c>
      <c r="C101" s="9"/>
      <c r="D101" s="9">
        <v>5422099</v>
      </c>
      <c r="E101" t="s">
        <v>13</v>
      </c>
      <c r="F101" s="9"/>
      <c r="G101" s="9"/>
      <c r="H101" s="9"/>
      <c r="I101" s="9"/>
      <c r="J101" s="9"/>
      <c r="K101" s="9"/>
      <c r="L101" s="9"/>
    </row>
    <row r="102" spans="2:12" x14ac:dyDescent="0.25">
      <c r="B102" s="9">
        <v>48</v>
      </c>
      <c r="C102" s="9"/>
      <c r="D102" s="9">
        <v>6049845</v>
      </c>
      <c r="E102" t="s">
        <v>13</v>
      </c>
      <c r="F102" s="9"/>
      <c r="G102" s="9"/>
      <c r="H102" s="9"/>
      <c r="I102" s="9"/>
      <c r="J102" s="9"/>
      <c r="K102" s="9"/>
      <c r="L102" s="9"/>
    </row>
    <row r="103" spans="2:12" x14ac:dyDescent="0.25">
      <c r="B103" s="9">
        <v>48</v>
      </c>
      <c r="C103" s="9"/>
      <c r="D103" s="9">
        <v>4896489</v>
      </c>
      <c r="E103" t="s">
        <v>13</v>
      </c>
      <c r="F103" s="9"/>
      <c r="G103" s="9"/>
      <c r="H103" s="9"/>
      <c r="I103" s="9"/>
      <c r="J103" s="9"/>
      <c r="K103" s="9"/>
      <c r="L103" s="9"/>
    </row>
    <row r="104" spans="2:12" x14ac:dyDescent="0.25">
      <c r="B104" s="9">
        <v>50</v>
      </c>
      <c r="C104" s="9"/>
      <c r="D104" s="9">
        <v>6225164</v>
      </c>
      <c r="E104" t="s">
        <v>13</v>
      </c>
      <c r="F104" s="9"/>
      <c r="G104" s="9"/>
      <c r="H104" s="9"/>
      <c r="I104" s="9"/>
      <c r="J104" s="9"/>
      <c r="K104" s="9"/>
      <c r="L104" s="9"/>
    </row>
    <row r="105" spans="2:12" x14ac:dyDescent="0.25">
      <c r="B105" s="9">
        <v>50</v>
      </c>
      <c r="C105" s="9"/>
      <c r="D105" s="9">
        <v>4459262</v>
      </c>
      <c r="E105" t="s">
        <v>13</v>
      </c>
      <c r="F105" s="9"/>
      <c r="G105" s="9"/>
      <c r="H105" s="9"/>
      <c r="I105" s="9"/>
      <c r="J105" s="9"/>
      <c r="K105" s="9"/>
      <c r="L105" s="9"/>
    </row>
    <row r="106" spans="2:12" x14ac:dyDescent="0.25">
      <c r="B106" s="9">
        <v>51</v>
      </c>
      <c r="C106" s="9"/>
      <c r="D106" s="9">
        <v>7522172</v>
      </c>
      <c r="E106" t="s">
        <v>13</v>
      </c>
      <c r="F106" s="9"/>
      <c r="G106" s="9"/>
      <c r="H106" s="9"/>
      <c r="I106" s="9"/>
      <c r="J106" s="9"/>
      <c r="K106" s="9"/>
      <c r="L106" s="9"/>
    </row>
    <row r="107" spans="2:12" x14ac:dyDescent="0.25">
      <c r="B107" s="9">
        <v>51</v>
      </c>
      <c r="C107" s="9"/>
      <c r="D107" s="9">
        <v>5099792</v>
      </c>
      <c r="E107" t="s">
        <v>13</v>
      </c>
      <c r="F107" s="9"/>
      <c r="G107" s="9"/>
      <c r="H107" s="9"/>
      <c r="I107" s="9"/>
      <c r="J107" s="9"/>
      <c r="K107" s="9"/>
      <c r="L107" s="9"/>
    </row>
    <row r="108" spans="2:12" x14ac:dyDescent="0.25">
      <c r="B108" s="9">
        <v>51</v>
      </c>
      <c r="C108" s="9"/>
      <c r="D108" s="9">
        <v>4017612</v>
      </c>
      <c r="E108" t="s">
        <v>13</v>
      </c>
      <c r="F108" s="9"/>
      <c r="G108" s="9"/>
      <c r="H108" s="9"/>
      <c r="I108" s="9"/>
      <c r="J108" s="9"/>
      <c r="K108" s="9"/>
      <c r="L108" s="9"/>
    </row>
    <row r="109" spans="2:12" x14ac:dyDescent="0.25">
      <c r="B109" s="9">
        <v>51</v>
      </c>
      <c r="C109" s="9"/>
      <c r="D109" s="9">
        <v>4784523</v>
      </c>
      <c r="E109" t="s">
        <v>13</v>
      </c>
      <c r="F109" s="9"/>
      <c r="G109" s="9"/>
      <c r="H109" s="9"/>
      <c r="I109" s="9"/>
      <c r="J109" s="9"/>
      <c r="K109" s="9"/>
      <c r="L109" s="9"/>
    </row>
    <row r="110" spans="2:12" x14ac:dyDescent="0.25">
      <c r="B110" s="9">
        <v>53</v>
      </c>
      <c r="C110" s="9"/>
      <c r="D110" s="9">
        <v>4434632</v>
      </c>
      <c r="E110" t="s">
        <v>13</v>
      </c>
      <c r="F110" s="9"/>
      <c r="G110" s="9"/>
      <c r="H110" s="9"/>
      <c r="I110" s="9"/>
      <c r="J110" s="9"/>
      <c r="K110" s="9"/>
      <c r="L110" s="9"/>
    </row>
    <row r="111" spans="2:12" x14ac:dyDescent="0.25">
      <c r="B111" s="9">
        <v>53</v>
      </c>
      <c r="C111" s="9"/>
      <c r="D111" s="9">
        <v>5797663</v>
      </c>
      <c r="E111" t="s">
        <v>13</v>
      </c>
      <c r="F111" s="9"/>
      <c r="G111" s="9"/>
      <c r="H111" s="9"/>
      <c r="I111" s="9"/>
      <c r="J111" s="9"/>
      <c r="K111" s="9"/>
      <c r="L111" s="9"/>
    </row>
    <row r="112" spans="2:12" x14ac:dyDescent="0.25">
      <c r="B112" s="9">
        <v>53</v>
      </c>
      <c r="C112" s="9"/>
      <c r="D112" s="9">
        <v>12345468</v>
      </c>
      <c r="E112" t="s">
        <v>13</v>
      </c>
      <c r="F112" s="9"/>
      <c r="G112" s="9"/>
      <c r="H112" s="9"/>
      <c r="I112" s="9"/>
      <c r="J112" s="9"/>
      <c r="K112" s="9"/>
      <c r="L112" s="9"/>
    </row>
    <row r="113" spans="2:12" x14ac:dyDescent="0.25">
      <c r="B113" s="9">
        <v>54</v>
      </c>
      <c r="C113" s="9"/>
      <c r="D113" s="9">
        <v>4723356</v>
      </c>
      <c r="E113" t="s">
        <v>13</v>
      </c>
      <c r="F113" s="9"/>
      <c r="G113" s="9"/>
      <c r="H113" s="9"/>
      <c r="I113" s="9"/>
      <c r="J113" s="9"/>
      <c r="K113" s="9"/>
      <c r="L113" s="9"/>
    </row>
    <row r="114" spans="2:12" x14ac:dyDescent="0.25">
      <c r="B114" s="9">
        <v>54</v>
      </c>
      <c r="C114" s="9"/>
      <c r="D114" s="9">
        <v>4584267</v>
      </c>
      <c r="E114" t="s">
        <v>13</v>
      </c>
      <c r="F114" s="9"/>
      <c r="G114" s="9"/>
      <c r="H114" s="9"/>
      <c r="I114" s="9"/>
      <c r="J114" s="9"/>
      <c r="K114" s="9"/>
      <c r="L114" s="9"/>
    </row>
    <row r="115" spans="2:12" x14ac:dyDescent="0.25">
      <c r="B115" s="9">
        <v>55</v>
      </c>
      <c r="C115" s="9"/>
      <c r="D115" s="9">
        <v>4966922</v>
      </c>
      <c r="E115" t="s">
        <v>13</v>
      </c>
      <c r="F115" s="9"/>
      <c r="G115" s="9"/>
      <c r="H115" s="9"/>
      <c r="I115" s="9"/>
      <c r="J115" s="9"/>
      <c r="K115" s="9"/>
      <c r="L115" s="9"/>
    </row>
    <row r="116" spans="2:12" x14ac:dyDescent="0.25">
      <c r="B116" s="9">
        <v>55</v>
      </c>
      <c r="C116" s="9"/>
      <c r="D116" s="9">
        <v>4215566</v>
      </c>
      <c r="E116" t="s">
        <v>13</v>
      </c>
      <c r="F116" s="9"/>
      <c r="G116" s="9"/>
      <c r="H116" s="9"/>
      <c r="I116" s="9"/>
      <c r="J116" s="9"/>
      <c r="K116" s="9"/>
      <c r="L116" s="9"/>
    </row>
    <row r="117" spans="2:12" x14ac:dyDescent="0.25">
      <c r="B117" s="9">
        <v>55</v>
      </c>
      <c r="C117" s="9"/>
      <c r="D117" s="9">
        <v>8247732</v>
      </c>
      <c r="E117" t="s">
        <v>13</v>
      </c>
      <c r="F117" s="9"/>
      <c r="G117" s="9"/>
      <c r="H117" s="9"/>
      <c r="I117" s="9"/>
      <c r="J117" s="9"/>
      <c r="K117" s="9"/>
      <c r="L117" s="9"/>
    </row>
    <row r="118" spans="2:12" x14ac:dyDescent="0.25">
      <c r="B118" s="9">
        <v>57</v>
      </c>
      <c r="C118" s="9"/>
      <c r="D118" s="9">
        <v>4214062</v>
      </c>
      <c r="E118" t="s">
        <v>13</v>
      </c>
      <c r="F118" s="9"/>
      <c r="G118" s="9"/>
      <c r="H118" s="9"/>
      <c r="I118" s="9"/>
      <c r="J118" s="9"/>
      <c r="K118" s="9"/>
      <c r="L118" s="9"/>
    </row>
    <row r="119" spans="2:12" x14ac:dyDescent="0.25">
      <c r="B119" s="9">
        <v>57</v>
      </c>
      <c r="C119" s="9"/>
      <c r="D119" s="9">
        <v>4204270</v>
      </c>
      <c r="E119" t="s">
        <v>13</v>
      </c>
      <c r="F119" s="9"/>
      <c r="G119" s="9"/>
      <c r="H119" s="9"/>
      <c r="I119" s="9"/>
      <c r="J119" s="9"/>
      <c r="K119" s="9"/>
      <c r="L119" s="9"/>
    </row>
    <row r="120" spans="2:12" x14ac:dyDescent="0.25">
      <c r="B120" s="9">
        <v>58</v>
      </c>
      <c r="C120" s="9"/>
      <c r="D120" s="9">
        <v>5880646</v>
      </c>
      <c r="E120" t="s">
        <v>13</v>
      </c>
      <c r="F120" s="9"/>
      <c r="G120" s="9"/>
      <c r="H120" s="9"/>
      <c r="I120" s="9"/>
      <c r="J120" s="9"/>
      <c r="K120" s="9"/>
      <c r="L120" s="9"/>
    </row>
    <row r="121" spans="2:12" x14ac:dyDescent="0.25">
      <c r="B121" s="9">
        <v>59</v>
      </c>
      <c r="C121" s="9"/>
      <c r="D121" s="9">
        <v>4438505</v>
      </c>
      <c r="E121" t="s">
        <v>13</v>
      </c>
      <c r="F121" s="9"/>
      <c r="G121" s="9"/>
      <c r="H121" s="9"/>
      <c r="I121" s="9"/>
      <c r="J121" s="9"/>
      <c r="K121" s="9"/>
      <c r="L121" s="9"/>
    </row>
    <row r="122" spans="2:12" x14ac:dyDescent="0.25">
      <c r="B122" s="9">
        <v>60</v>
      </c>
      <c r="C122" s="9"/>
      <c r="D122" s="9">
        <v>15308929</v>
      </c>
      <c r="E122" t="s">
        <v>13</v>
      </c>
      <c r="F122" s="9"/>
      <c r="G122" s="9"/>
      <c r="H122" s="9"/>
      <c r="I122" s="9"/>
      <c r="J122" s="9"/>
      <c r="K122" s="9"/>
      <c r="L122" s="9"/>
    </row>
    <row r="123" spans="2:12" x14ac:dyDescent="0.25">
      <c r="B123" s="9">
        <v>60</v>
      </c>
      <c r="C123" s="9"/>
      <c r="D123" s="9">
        <v>4129326</v>
      </c>
      <c r="E123" t="s">
        <v>13</v>
      </c>
      <c r="F123" s="9"/>
      <c r="G123" s="9"/>
      <c r="H123" s="9"/>
      <c r="I123" s="9"/>
      <c r="J123" s="9"/>
      <c r="K123" s="9"/>
      <c r="L123" s="9"/>
    </row>
    <row r="124" spans="2:12" x14ac:dyDescent="0.25">
      <c r="B124" s="9">
        <v>60</v>
      </c>
      <c r="C124" s="9"/>
      <c r="D124" s="9">
        <v>6099154</v>
      </c>
      <c r="E124" t="s">
        <v>13</v>
      </c>
      <c r="F124" s="9"/>
      <c r="G124" s="9"/>
      <c r="H124" s="9"/>
      <c r="I124" s="9"/>
      <c r="J124" s="9"/>
      <c r="K124" s="9"/>
      <c r="L124" s="9"/>
    </row>
    <row r="125" spans="2:12" x14ac:dyDescent="0.25">
      <c r="B125" s="9">
        <v>60</v>
      </c>
      <c r="C125" s="9"/>
      <c r="D125" s="9">
        <v>7637584</v>
      </c>
      <c r="E125" t="s">
        <v>13</v>
      </c>
      <c r="F125" s="9"/>
      <c r="G125" s="9"/>
      <c r="H125" s="9"/>
      <c r="I125" s="9"/>
      <c r="J125" s="9"/>
      <c r="K125" s="9"/>
      <c r="L125" s="9"/>
    </row>
    <row r="126" spans="2:12" x14ac:dyDescent="0.25">
      <c r="B126" s="9">
        <v>61</v>
      </c>
      <c r="C126" s="9"/>
      <c r="D126" s="9">
        <v>4939357</v>
      </c>
      <c r="E126" t="s">
        <v>13</v>
      </c>
      <c r="F126" s="9"/>
      <c r="G126" s="9"/>
      <c r="H126" s="9"/>
      <c r="I126" s="9"/>
      <c r="J126" s="9"/>
      <c r="K126" s="9"/>
      <c r="L126" s="9"/>
    </row>
    <row r="127" spans="2:12" x14ac:dyDescent="0.25">
      <c r="B127" s="9">
        <v>61</v>
      </c>
      <c r="C127" s="9"/>
      <c r="D127" s="9">
        <v>15922434</v>
      </c>
      <c r="E127" t="s">
        <v>13</v>
      </c>
      <c r="F127" s="9"/>
      <c r="G127" s="9"/>
      <c r="H127" s="9"/>
      <c r="I127" s="9"/>
      <c r="J127" s="9"/>
      <c r="K127" s="9"/>
      <c r="L127" s="9"/>
    </row>
    <row r="128" spans="2:12" x14ac:dyDescent="0.25">
      <c r="B128" s="9">
        <v>62</v>
      </c>
      <c r="C128" s="9"/>
      <c r="D128" s="9">
        <v>40410772</v>
      </c>
      <c r="E128" t="s">
        <v>13</v>
      </c>
      <c r="F128" s="9"/>
      <c r="G128" s="9"/>
      <c r="H128" s="9"/>
      <c r="I128" s="9"/>
      <c r="J128" s="9"/>
      <c r="K128" s="9"/>
      <c r="L128" s="9"/>
    </row>
    <row r="129" spans="2:12" x14ac:dyDescent="0.25">
      <c r="B129" s="9">
        <v>62</v>
      </c>
      <c r="C129" s="9"/>
      <c r="D129" s="9">
        <v>9767914</v>
      </c>
      <c r="E129" t="s">
        <v>13</v>
      </c>
      <c r="F129" s="9"/>
      <c r="G129" s="9"/>
      <c r="H129" s="9"/>
      <c r="I129" s="9"/>
      <c r="J129" s="9"/>
      <c r="K129" s="9"/>
      <c r="L129" s="9"/>
    </row>
    <row r="130" spans="2:12" x14ac:dyDescent="0.25">
      <c r="B130" s="9">
        <v>63</v>
      </c>
      <c r="C130" s="9"/>
      <c r="D130" s="9">
        <v>4563733</v>
      </c>
      <c r="E130" t="s">
        <v>13</v>
      </c>
      <c r="F130" s="9"/>
      <c r="G130" s="9"/>
      <c r="H130" s="9"/>
      <c r="I130" s="9"/>
      <c r="J130" s="9"/>
      <c r="K130" s="9"/>
      <c r="L130" s="9"/>
    </row>
    <row r="131" spans="2:12" x14ac:dyDescent="0.25">
      <c r="B131" s="9">
        <v>63</v>
      </c>
      <c r="C131" s="9"/>
      <c r="D131" s="9">
        <v>20857463</v>
      </c>
      <c r="E131" t="s">
        <v>13</v>
      </c>
      <c r="F131" s="9"/>
      <c r="G131" s="9"/>
      <c r="H131" s="9"/>
      <c r="I131" s="9"/>
      <c r="J131" s="9"/>
      <c r="K131" s="9"/>
      <c r="L131" s="9"/>
    </row>
    <row r="132" spans="2:12" x14ac:dyDescent="0.25">
      <c r="B132" s="9">
        <v>64</v>
      </c>
      <c r="C132" s="9"/>
      <c r="D132" s="9">
        <v>5368889</v>
      </c>
      <c r="E132" t="s">
        <v>13</v>
      </c>
      <c r="F132" s="9"/>
      <c r="G132" s="9"/>
      <c r="H132" s="9"/>
      <c r="I132" s="9"/>
      <c r="J132" s="9"/>
      <c r="K132" s="9"/>
      <c r="L132" s="9"/>
    </row>
    <row r="133" spans="2:12" x14ac:dyDescent="0.25">
      <c r="B133" s="9">
        <v>64</v>
      </c>
      <c r="C133" s="9"/>
      <c r="D133" s="9">
        <v>5474996</v>
      </c>
      <c r="E133" t="s">
        <v>13</v>
      </c>
      <c r="F133" s="9"/>
      <c r="G133" s="9"/>
      <c r="H133" s="9"/>
      <c r="I133" s="9"/>
      <c r="J133" s="9"/>
      <c r="K133" s="9"/>
      <c r="L133" s="9"/>
    </row>
    <row r="134" spans="2:12" x14ac:dyDescent="0.25">
      <c r="B134" s="9">
        <v>64</v>
      </c>
      <c r="C134" s="9"/>
      <c r="D134" s="9">
        <v>4877627</v>
      </c>
      <c r="E134" t="s">
        <v>13</v>
      </c>
      <c r="F134" s="9"/>
      <c r="G134" s="9"/>
      <c r="H134" s="9"/>
      <c r="I134" s="9"/>
      <c r="J134" s="9"/>
      <c r="K134" s="9"/>
      <c r="L134" s="9"/>
    </row>
    <row r="135" spans="2:12" x14ac:dyDescent="0.25">
      <c r="B135" s="9">
        <v>64</v>
      </c>
      <c r="C135" s="9"/>
      <c r="D135" s="9">
        <v>9983978</v>
      </c>
      <c r="E135" t="s">
        <v>13</v>
      </c>
      <c r="F135" s="9"/>
      <c r="G135" s="9"/>
      <c r="H135" s="9"/>
      <c r="I135" s="9"/>
      <c r="J135" s="9"/>
      <c r="K135" s="9"/>
      <c r="L135" s="9"/>
    </row>
    <row r="136" spans="2:12" x14ac:dyDescent="0.25">
      <c r="B136" s="9">
        <v>66</v>
      </c>
      <c r="C136" s="9"/>
      <c r="D136" s="9">
        <v>6318639</v>
      </c>
      <c r="E136" t="s">
        <v>13</v>
      </c>
      <c r="F136" s="9"/>
      <c r="G136" s="9"/>
      <c r="H136" s="9"/>
      <c r="I136" s="9"/>
      <c r="J136" s="9"/>
      <c r="K136" s="9"/>
      <c r="L136" s="9"/>
    </row>
    <row r="137" spans="2:12" x14ac:dyDescent="0.25">
      <c r="B137" s="9">
        <v>66</v>
      </c>
      <c r="C137" s="9"/>
      <c r="D137" s="9">
        <v>47055886</v>
      </c>
      <c r="E137" t="s">
        <v>13</v>
      </c>
      <c r="F137" s="9"/>
      <c r="G137" s="9"/>
      <c r="H137" s="9"/>
      <c r="I137" s="9"/>
      <c r="J137" s="9"/>
      <c r="K137" s="9"/>
      <c r="L137" s="9"/>
    </row>
    <row r="138" spans="2:12" x14ac:dyDescent="0.25">
      <c r="B138" s="9">
        <v>66</v>
      </c>
      <c r="C138" s="9"/>
      <c r="D138" s="9">
        <v>4878778</v>
      </c>
      <c r="E138" t="s">
        <v>13</v>
      </c>
      <c r="F138" s="9"/>
      <c r="G138" s="9"/>
      <c r="H138" s="9"/>
      <c r="I138" s="9"/>
      <c r="J138" s="9"/>
      <c r="K138" s="9"/>
      <c r="L138" s="9"/>
    </row>
    <row r="139" spans="2:12" x14ac:dyDescent="0.25">
      <c r="B139" s="9">
        <v>67</v>
      </c>
      <c r="C139" s="9"/>
      <c r="D139" s="9">
        <v>4451686</v>
      </c>
      <c r="E139" t="s">
        <v>13</v>
      </c>
      <c r="F139" s="9"/>
      <c r="G139" s="9"/>
      <c r="H139" s="9"/>
      <c r="I139" s="9"/>
      <c r="J139" s="9"/>
      <c r="K139" s="9"/>
      <c r="L139" s="9"/>
    </row>
    <row r="140" spans="2:12" x14ac:dyDescent="0.25">
      <c r="B140" s="9">
        <v>67</v>
      </c>
      <c r="C140" s="9"/>
      <c r="D140" s="9">
        <v>4398689</v>
      </c>
      <c r="E140" t="s">
        <v>13</v>
      </c>
      <c r="F140" s="9"/>
      <c r="G140" s="9"/>
      <c r="H140" s="9"/>
      <c r="I140" s="9"/>
      <c r="J140" s="9"/>
      <c r="K140" s="9"/>
      <c r="L140" s="9"/>
    </row>
    <row r="141" spans="2:12" x14ac:dyDescent="0.25">
      <c r="B141" s="9">
        <v>67</v>
      </c>
      <c r="C141" s="9"/>
      <c r="D141" s="9">
        <v>4979187</v>
      </c>
      <c r="E141" t="s">
        <v>13</v>
      </c>
      <c r="F141" s="9"/>
      <c r="G141" s="9"/>
      <c r="H141" s="9"/>
      <c r="I141" s="9"/>
      <c r="J141" s="9"/>
      <c r="K141" s="9"/>
      <c r="L141" s="9"/>
    </row>
    <row r="142" spans="2:12" x14ac:dyDescent="0.25">
      <c r="B142" s="9">
        <v>68</v>
      </c>
      <c r="C142" s="9"/>
      <c r="D142" s="9">
        <v>4159022</v>
      </c>
      <c r="E142" t="s">
        <v>13</v>
      </c>
      <c r="F142" s="9"/>
      <c r="G142" s="9"/>
      <c r="H142" s="9"/>
      <c r="I142" s="9"/>
      <c r="J142" s="9"/>
      <c r="K142" s="9"/>
      <c r="L142" s="9"/>
    </row>
    <row r="143" spans="2:12" x14ac:dyDescent="0.25">
      <c r="B143" s="9">
        <v>68</v>
      </c>
      <c r="C143" s="9"/>
      <c r="D143" s="9">
        <v>4205266</v>
      </c>
      <c r="E143" t="s">
        <v>13</v>
      </c>
      <c r="F143" s="9"/>
      <c r="G143" s="9"/>
      <c r="H143" s="9"/>
      <c r="I143" s="9"/>
      <c r="J143" s="9"/>
      <c r="K143" s="9"/>
      <c r="L143" s="9"/>
    </row>
    <row r="144" spans="2:12" x14ac:dyDescent="0.25">
      <c r="B144" s="9">
        <v>68</v>
      </c>
      <c r="C144" s="9"/>
      <c r="D144" s="9">
        <v>6316857</v>
      </c>
      <c r="E144" t="s">
        <v>13</v>
      </c>
      <c r="F144" s="9"/>
      <c r="G144" s="9"/>
      <c r="H144" s="9"/>
      <c r="I144" s="9"/>
      <c r="J144" s="9"/>
      <c r="K144" s="9"/>
      <c r="L144" s="9"/>
    </row>
    <row r="145" spans="2:12" x14ac:dyDescent="0.25">
      <c r="B145" s="9">
        <v>69</v>
      </c>
      <c r="C145" s="9"/>
      <c r="D145" s="9">
        <v>4708641</v>
      </c>
      <c r="E145" t="s">
        <v>13</v>
      </c>
      <c r="F145" s="9"/>
      <c r="G145" s="9"/>
      <c r="H145" s="9"/>
      <c r="I145" s="9"/>
      <c r="J145" s="9"/>
      <c r="K145" s="9"/>
      <c r="L145" s="9"/>
    </row>
    <row r="146" spans="2:12" x14ac:dyDescent="0.25">
      <c r="B146" s="9">
        <v>69</v>
      </c>
      <c r="C146" s="9"/>
      <c r="D146" s="9">
        <v>4588505</v>
      </c>
      <c r="E146" t="s">
        <v>13</v>
      </c>
      <c r="F146" s="9"/>
      <c r="G146" s="9"/>
      <c r="H146" s="9"/>
      <c r="I146" s="9"/>
      <c r="J146" s="9"/>
      <c r="K146" s="9"/>
      <c r="L146" s="9"/>
    </row>
    <row r="147" spans="2:12" x14ac:dyDescent="0.25">
      <c r="B147" s="9">
        <v>69</v>
      </c>
      <c r="C147" s="9"/>
      <c r="D147" s="9">
        <v>5498123</v>
      </c>
      <c r="E147" t="s">
        <v>13</v>
      </c>
      <c r="F147" s="9"/>
      <c r="G147" s="9"/>
      <c r="H147" s="9"/>
      <c r="I147" s="9"/>
      <c r="J147" s="9"/>
      <c r="K147" s="9"/>
      <c r="L147" s="9"/>
    </row>
    <row r="148" spans="2:12" x14ac:dyDescent="0.25">
      <c r="B148" s="9">
        <v>69</v>
      </c>
      <c r="C148" s="9"/>
      <c r="D148" s="9">
        <v>5666426</v>
      </c>
      <c r="E148" t="s">
        <v>13</v>
      </c>
      <c r="F148" s="9"/>
      <c r="G148" s="9"/>
      <c r="H148" s="9"/>
      <c r="I148" s="9"/>
      <c r="J148" s="9"/>
      <c r="K148" s="9"/>
      <c r="L148" s="9"/>
    </row>
    <row r="149" spans="2:12" x14ac:dyDescent="0.25">
      <c r="B149" s="9">
        <v>69</v>
      </c>
      <c r="C149" s="9"/>
      <c r="D149" s="9">
        <v>23614740</v>
      </c>
      <c r="E149" t="s">
        <v>13</v>
      </c>
      <c r="F149" s="9"/>
      <c r="G149" s="9"/>
      <c r="H149" s="9"/>
      <c r="I149" s="9"/>
      <c r="J149" s="9"/>
      <c r="K149" s="9"/>
      <c r="L149" s="9"/>
    </row>
    <row r="150" spans="2:12" x14ac:dyDescent="0.25">
      <c r="B150" s="9">
        <v>70</v>
      </c>
      <c r="C150" s="9"/>
      <c r="D150" s="9">
        <v>4854855</v>
      </c>
      <c r="E150" t="s">
        <v>13</v>
      </c>
      <c r="F150" s="9"/>
      <c r="G150" s="9"/>
      <c r="H150" s="9"/>
      <c r="I150" s="9"/>
      <c r="J150" s="9"/>
      <c r="K150" s="9"/>
      <c r="L150" s="9"/>
    </row>
    <row r="151" spans="2:12" x14ac:dyDescent="0.25">
      <c r="B151" s="9">
        <v>70</v>
      </c>
      <c r="C151" s="9"/>
      <c r="D151" s="9">
        <v>4232249</v>
      </c>
      <c r="E151" t="s">
        <v>13</v>
      </c>
      <c r="F151" s="9"/>
      <c r="G151" s="9"/>
      <c r="H151" s="9"/>
      <c r="I151" s="9"/>
      <c r="J151" s="9"/>
      <c r="K151" s="9"/>
      <c r="L151" s="9"/>
    </row>
    <row r="152" spans="2:12" x14ac:dyDescent="0.25">
      <c r="B152" s="9">
        <v>70</v>
      </c>
      <c r="C152" s="9"/>
      <c r="D152" s="9">
        <v>6858121</v>
      </c>
      <c r="E152" t="s">
        <v>13</v>
      </c>
      <c r="F152" s="9"/>
      <c r="G152" s="9"/>
      <c r="H152" s="9"/>
      <c r="I152" s="9"/>
      <c r="J152" s="9"/>
      <c r="K152" s="9"/>
      <c r="L152" s="9"/>
    </row>
    <row r="153" spans="2:12" x14ac:dyDescent="0.25">
      <c r="B153" s="9">
        <v>70</v>
      </c>
      <c r="C153" s="9"/>
      <c r="D153" s="9">
        <v>5426022</v>
      </c>
      <c r="E153" t="s">
        <v>13</v>
      </c>
      <c r="F153" s="9"/>
      <c r="G153" s="9"/>
      <c r="H153" s="9"/>
      <c r="I153" s="9"/>
      <c r="J153" s="9"/>
      <c r="K153" s="9"/>
      <c r="L153" s="9"/>
    </row>
    <row r="154" spans="2:12" x14ac:dyDescent="0.25">
      <c r="B154" s="9">
        <v>70</v>
      </c>
      <c r="C154" s="9"/>
      <c r="D154" s="9">
        <v>5692499</v>
      </c>
      <c r="E154" t="s">
        <v>13</v>
      </c>
      <c r="F154" s="9"/>
      <c r="G154" s="9"/>
      <c r="H154" s="9"/>
      <c r="I154" s="9"/>
      <c r="J154" s="9"/>
      <c r="K154" s="9"/>
      <c r="L154" s="9"/>
    </row>
    <row r="155" spans="2:12" x14ac:dyDescent="0.25">
      <c r="B155" s="9">
        <v>71</v>
      </c>
      <c r="C155" s="9"/>
      <c r="D155" s="9">
        <v>4746303</v>
      </c>
      <c r="E155" t="s">
        <v>13</v>
      </c>
      <c r="F155" s="9"/>
      <c r="G155" s="9"/>
      <c r="H155" s="9"/>
      <c r="I155" s="9"/>
      <c r="J155" s="9"/>
      <c r="K155" s="9"/>
      <c r="L155" s="9"/>
    </row>
    <row r="156" spans="2:12" x14ac:dyDescent="0.25">
      <c r="B156" s="9">
        <v>71</v>
      </c>
      <c r="C156" s="9"/>
      <c r="D156" s="9">
        <v>4955273</v>
      </c>
      <c r="E156" t="s">
        <v>13</v>
      </c>
      <c r="F156" s="9"/>
      <c r="G156" s="9"/>
      <c r="H156" s="9"/>
      <c r="I156" s="9"/>
      <c r="J156" s="9"/>
      <c r="K156" s="9"/>
      <c r="L156" s="9"/>
    </row>
    <row r="157" spans="2:12" x14ac:dyDescent="0.25">
      <c r="B157" s="9">
        <v>72</v>
      </c>
      <c r="C157" s="9"/>
      <c r="D157" s="9">
        <v>4478260</v>
      </c>
      <c r="E157" t="s">
        <v>13</v>
      </c>
      <c r="F157" s="9"/>
      <c r="G157" s="9"/>
      <c r="H157" s="9"/>
      <c r="I157" s="9"/>
      <c r="J157" s="9"/>
      <c r="K157" s="9"/>
      <c r="L157" s="9"/>
    </row>
    <row r="158" spans="2:12" x14ac:dyDescent="0.25">
      <c r="B158" s="9">
        <v>73</v>
      </c>
      <c r="C158" s="9"/>
      <c r="D158" s="9">
        <v>7935855</v>
      </c>
      <c r="E158" t="s">
        <v>13</v>
      </c>
      <c r="F158" s="9"/>
      <c r="G158" s="9"/>
      <c r="H158" s="9"/>
      <c r="I158" s="9"/>
      <c r="J158" s="9"/>
      <c r="K158" s="9"/>
      <c r="L158" s="9"/>
    </row>
    <row r="159" spans="2:12" x14ac:dyDescent="0.25">
      <c r="B159" s="9">
        <v>73</v>
      </c>
      <c r="C159" s="9"/>
      <c r="D159" s="9">
        <v>11492623</v>
      </c>
      <c r="E159" t="s">
        <v>13</v>
      </c>
      <c r="F159" s="9"/>
      <c r="G159" s="9"/>
      <c r="H159" s="9"/>
      <c r="I159" s="9"/>
      <c r="J159" s="9"/>
      <c r="K159" s="9"/>
      <c r="L159" s="9"/>
    </row>
    <row r="160" spans="2:12" x14ac:dyDescent="0.25">
      <c r="B160" s="9">
        <v>73</v>
      </c>
      <c r="C160" s="9"/>
      <c r="D160" s="9">
        <v>8165719</v>
      </c>
      <c r="E160" t="s">
        <v>13</v>
      </c>
      <c r="F160" s="9"/>
      <c r="G160" s="9"/>
      <c r="H160" s="9"/>
      <c r="I160" s="9"/>
      <c r="J160" s="9"/>
      <c r="K160" s="9"/>
      <c r="L160" s="9"/>
    </row>
    <row r="161" spans="2:12" x14ac:dyDescent="0.25">
      <c r="B161" s="9">
        <v>74</v>
      </c>
      <c r="C161" s="9"/>
      <c r="D161" s="9">
        <v>6670245</v>
      </c>
      <c r="E161" t="s">
        <v>13</v>
      </c>
      <c r="F161" s="9"/>
      <c r="G161" s="9"/>
      <c r="H161" s="9"/>
      <c r="I161" s="9"/>
      <c r="J161" s="9"/>
      <c r="K161" s="9"/>
      <c r="L161" s="9"/>
    </row>
    <row r="162" spans="2:12" x14ac:dyDescent="0.25">
      <c r="B162" s="9">
        <v>74</v>
      </c>
      <c r="C162" s="9"/>
      <c r="D162" s="9">
        <v>14388665</v>
      </c>
      <c r="E162" t="s">
        <v>13</v>
      </c>
      <c r="F162" s="9"/>
      <c r="G162" s="9"/>
      <c r="H162" s="9"/>
      <c r="I162" s="9"/>
      <c r="J162" s="9"/>
      <c r="K162" s="9"/>
      <c r="L162" s="9"/>
    </row>
    <row r="163" spans="2:12" x14ac:dyDescent="0.25">
      <c r="B163" s="9">
        <v>74</v>
      </c>
      <c r="C163" s="9"/>
      <c r="D163" s="9">
        <v>14224297</v>
      </c>
      <c r="E163" t="s">
        <v>13</v>
      </c>
      <c r="F163" s="9"/>
      <c r="G163" s="9"/>
      <c r="H163" s="9"/>
      <c r="I163" s="9"/>
      <c r="J163" s="9"/>
      <c r="K163" s="9"/>
      <c r="L163" s="9"/>
    </row>
    <row r="164" spans="2:12" x14ac:dyDescent="0.25">
      <c r="B164" s="9">
        <v>74</v>
      </c>
      <c r="C164" s="9"/>
      <c r="D164" s="9">
        <v>4473962</v>
      </c>
      <c r="E164" t="s">
        <v>13</v>
      </c>
      <c r="F164" s="9"/>
      <c r="G164" s="9"/>
      <c r="H164" s="9"/>
      <c r="I164" s="9"/>
      <c r="J164" s="9"/>
      <c r="K164" s="9"/>
      <c r="L164" s="9"/>
    </row>
    <row r="165" spans="2:12" x14ac:dyDescent="0.25">
      <c r="B165" s="9">
        <v>75</v>
      </c>
      <c r="C165" s="9"/>
      <c r="D165" s="9">
        <v>6905397</v>
      </c>
      <c r="E165" t="s">
        <v>13</v>
      </c>
      <c r="F165" s="9"/>
      <c r="G165" s="9"/>
      <c r="H165" s="9"/>
      <c r="I165" s="9"/>
      <c r="J165" s="9"/>
      <c r="K165" s="9"/>
      <c r="L165" s="9"/>
    </row>
    <row r="166" spans="2:12" x14ac:dyDescent="0.25">
      <c r="B166" s="9">
        <v>75</v>
      </c>
      <c r="C166" s="9"/>
      <c r="D166" s="9">
        <v>5490704</v>
      </c>
      <c r="E166" t="s">
        <v>13</v>
      </c>
      <c r="F166" s="9"/>
      <c r="G166" s="9"/>
      <c r="H166" s="9"/>
      <c r="I166" s="9"/>
      <c r="J166" s="9"/>
      <c r="K166" s="9"/>
      <c r="L166" s="9"/>
    </row>
    <row r="167" spans="2:12" x14ac:dyDescent="0.25">
      <c r="B167" s="9">
        <v>75</v>
      </c>
      <c r="C167" s="9"/>
      <c r="D167" s="9">
        <v>5706594</v>
      </c>
      <c r="E167" t="s">
        <v>13</v>
      </c>
      <c r="F167" s="9"/>
      <c r="G167" s="9"/>
      <c r="H167" s="9"/>
      <c r="I167" s="9"/>
      <c r="J167" s="9"/>
      <c r="K167" s="9"/>
      <c r="L167" s="9"/>
    </row>
    <row r="168" spans="2:12" x14ac:dyDescent="0.25">
      <c r="B168" s="9">
        <v>75</v>
      </c>
      <c r="C168" s="9"/>
      <c r="D168" s="9">
        <v>4334126</v>
      </c>
      <c r="E168" t="s">
        <v>13</v>
      </c>
      <c r="F168" s="9"/>
      <c r="G168" s="9"/>
      <c r="H168" s="9"/>
      <c r="I168" s="9"/>
      <c r="J168" s="9"/>
      <c r="K168" s="9"/>
      <c r="L168" s="9"/>
    </row>
    <row r="169" spans="2:12" x14ac:dyDescent="0.25">
      <c r="B169" s="9">
        <v>76</v>
      </c>
      <c r="C169" s="9"/>
      <c r="D169" s="9">
        <v>13876838</v>
      </c>
      <c r="E169" t="s">
        <v>13</v>
      </c>
      <c r="F169" s="9"/>
      <c r="G169" s="9"/>
      <c r="H169" s="9"/>
      <c r="I169" s="9"/>
      <c r="J169" s="9"/>
      <c r="K169" s="9"/>
      <c r="L169" s="9"/>
    </row>
    <row r="170" spans="2:12" x14ac:dyDescent="0.25">
      <c r="B170" s="9">
        <v>76</v>
      </c>
      <c r="C170" s="9"/>
      <c r="D170" s="9">
        <v>27752399</v>
      </c>
      <c r="E170" t="s">
        <v>13</v>
      </c>
      <c r="F170" s="9"/>
      <c r="G170" s="9"/>
      <c r="H170" s="9"/>
      <c r="I170" s="9"/>
      <c r="J170" s="9"/>
      <c r="K170" s="9"/>
      <c r="L170" s="9"/>
    </row>
    <row r="171" spans="2:12" x14ac:dyDescent="0.25">
      <c r="B171" s="9">
        <v>76</v>
      </c>
      <c r="C171" s="9"/>
      <c r="D171" s="9">
        <v>10794735</v>
      </c>
      <c r="E171" t="s">
        <v>13</v>
      </c>
      <c r="F171" s="9"/>
      <c r="G171" s="9"/>
      <c r="H171" s="9"/>
      <c r="I171" s="9"/>
      <c r="J171" s="9"/>
      <c r="K171" s="9"/>
      <c r="L171" s="9"/>
    </row>
    <row r="172" spans="2:12" x14ac:dyDescent="0.25">
      <c r="B172" s="9">
        <v>78</v>
      </c>
      <c r="C172" s="9"/>
      <c r="D172" s="9">
        <v>7579035</v>
      </c>
      <c r="E172" t="s">
        <v>13</v>
      </c>
      <c r="F172" s="9"/>
      <c r="G172" s="9"/>
      <c r="H172" s="9"/>
      <c r="I172" s="9"/>
      <c r="J172" s="9"/>
      <c r="K172" s="9"/>
      <c r="L172" s="9"/>
    </row>
    <row r="173" spans="2:12" x14ac:dyDescent="0.25">
      <c r="B173" s="9">
        <v>78</v>
      </c>
      <c r="C173" s="9"/>
      <c r="D173" s="9">
        <v>8457605</v>
      </c>
      <c r="E173" t="s">
        <v>13</v>
      </c>
      <c r="F173" s="9"/>
      <c r="G173" s="9"/>
      <c r="H173" s="9"/>
      <c r="I173" s="9"/>
      <c r="J173" s="9"/>
      <c r="K173" s="9"/>
      <c r="L173" s="9"/>
    </row>
    <row r="174" spans="2:12" x14ac:dyDescent="0.25">
      <c r="B174" s="9">
        <v>78</v>
      </c>
      <c r="C174" s="9"/>
      <c r="D174" s="9">
        <v>22872724</v>
      </c>
      <c r="E174" t="s">
        <v>13</v>
      </c>
      <c r="F174" s="9"/>
      <c r="G174" s="9"/>
      <c r="H174" s="9"/>
      <c r="I174" s="9"/>
      <c r="J174" s="9"/>
      <c r="K174" s="9"/>
      <c r="L174" s="9"/>
    </row>
    <row r="175" spans="2:12" x14ac:dyDescent="0.25">
      <c r="B175" s="9">
        <v>79</v>
      </c>
      <c r="C175" s="9"/>
      <c r="D175" s="9">
        <v>9887283</v>
      </c>
      <c r="E175" t="s">
        <v>13</v>
      </c>
      <c r="F175" s="9"/>
      <c r="G175" s="9"/>
      <c r="H175" s="9"/>
      <c r="I175" s="9"/>
      <c r="J175" s="9"/>
      <c r="K175" s="9"/>
      <c r="L175" s="9"/>
    </row>
    <row r="176" spans="2:12" x14ac:dyDescent="0.25">
      <c r="B176" s="9">
        <v>80</v>
      </c>
      <c r="C176" s="9"/>
      <c r="D176" s="9">
        <v>16672768</v>
      </c>
      <c r="E176" t="s">
        <v>13</v>
      </c>
      <c r="F176" s="9"/>
      <c r="G176" s="9"/>
      <c r="H176" s="9"/>
      <c r="I176" s="9"/>
      <c r="J176" s="9"/>
      <c r="K176" s="9"/>
      <c r="L176" s="9"/>
    </row>
    <row r="177" spans="2:12" x14ac:dyDescent="0.25">
      <c r="B177" s="9">
        <v>81</v>
      </c>
      <c r="C177" s="9"/>
      <c r="D177" s="9">
        <v>4887339</v>
      </c>
      <c r="E177" t="s">
        <v>13</v>
      </c>
      <c r="F177" s="9"/>
      <c r="G177" s="9"/>
      <c r="H177" s="9"/>
      <c r="I177" s="9"/>
      <c r="J177" s="9"/>
      <c r="K177" s="9"/>
      <c r="L177" s="9"/>
    </row>
    <row r="178" spans="2:12" x14ac:dyDescent="0.25">
      <c r="B178" s="9">
        <v>81</v>
      </c>
      <c r="C178" s="9"/>
      <c r="D178" s="9">
        <v>8803212</v>
      </c>
      <c r="E178" t="s">
        <v>13</v>
      </c>
      <c r="F178" s="9"/>
      <c r="G178" s="9"/>
      <c r="H178" s="9"/>
      <c r="I178" s="9"/>
      <c r="J178" s="9"/>
      <c r="K178" s="9"/>
      <c r="L178" s="9"/>
    </row>
    <row r="179" spans="2:12" x14ac:dyDescent="0.25">
      <c r="B179" s="9">
        <v>81</v>
      </c>
      <c r="C179" s="9"/>
      <c r="D179" s="9">
        <v>4389258</v>
      </c>
      <c r="E179" t="s">
        <v>13</v>
      </c>
      <c r="F179" s="9"/>
      <c r="G179" s="9"/>
      <c r="H179" s="9"/>
      <c r="I179" s="9"/>
      <c r="J179" s="9"/>
      <c r="K179" s="9"/>
      <c r="L179" s="9"/>
    </row>
    <row r="180" spans="2:12" x14ac:dyDescent="0.25">
      <c r="B180" s="9">
        <v>82</v>
      </c>
      <c r="C180" s="9"/>
      <c r="D180" s="9">
        <v>5258771</v>
      </c>
      <c r="E180" t="s">
        <v>13</v>
      </c>
      <c r="F180" s="9"/>
      <c r="G180" s="9"/>
      <c r="H180" s="9"/>
      <c r="I180" s="9"/>
      <c r="J180" s="9"/>
      <c r="K180" s="9"/>
      <c r="L180" s="9"/>
    </row>
    <row r="181" spans="2:12" x14ac:dyDescent="0.25">
      <c r="B181" s="9">
        <v>83</v>
      </c>
      <c r="C181" s="9"/>
      <c r="D181" s="9">
        <v>4927486</v>
      </c>
      <c r="E181" t="s">
        <v>13</v>
      </c>
      <c r="F181" s="9"/>
      <c r="G181" s="9"/>
      <c r="H181" s="9"/>
      <c r="I181" s="9"/>
      <c r="J181" s="9"/>
      <c r="K181" s="9"/>
      <c r="L181" s="9"/>
    </row>
    <row r="182" spans="2:12" x14ac:dyDescent="0.25">
      <c r="B182" s="9">
        <v>85</v>
      </c>
      <c r="C182" s="9"/>
      <c r="D182" s="9">
        <v>5278701</v>
      </c>
      <c r="E182" t="s">
        <v>13</v>
      </c>
      <c r="F182" s="9"/>
      <c r="G182" s="9"/>
      <c r="H182" s="9"/>
      <c r="I182" s="9"/>
      <c r="J182" s="9"/>
      <c r="K182" s="9"/>
      <c r="L182" s="9"/>
    </row>
    <row r="183" spans="2:12" x14ac:dyDescent="0.25">
      <c r="B183" s="9">
        <v>85</v>
      </c>
      <c r="C183" s="9"/>
      <c r="D183" s="9">
        <v>9566591</v>
      </c>
      <c r="E183" t="s">
        <v>13</v>
      </c>
      <c r="F183" s="9"/>
      <c r="G183" s="9"/>
      <c r="H183" s="9"/>
      <c r="I183" s="9"/>
      <c r="J183" s="9"/>
      <c r="K183" s="9"/>
      <c r="L183" s="9"/>
    </row>
    <row r="184" spans="2:12" x14ac:dyDescent="0.25">
      <c r="B184" s="9">
        <v>86</v>
      </c>
      <c r="C184" s="9"/>
      <c r="D184" s="9">
        <v>6168293</v>
      </c>
      <c r="E184" t="s">
        <v>13</v>
      </c>
      <c r="F184" s="9"/>
      <c r="G184" s="9"/>
      <c r="H184" s="9"/>
      <c r="I184" s="9"/>
      <c r="J184" s="9"/>
      <c r="K184" s="9"/>
      <c r="L184" s="9"/>
    </row>
    <row r="185" spans="2:12" x14ac:dyDescent="0.25">
      <c r="B185" s="9">
        <v>86</v>
      </c>
      <c r="C185" s="9"/>
      <c r="D185" s="9">
        <v>6763690</v>
      </c>
      <c r="E185" t="s">
        <v>13</v>
      </c>
      <c r="F185" s="9"/>
      <c r="G185" s="9"/>
      <c r="H185" s="9"/>
      <c r="I185" s="9"/>
      <c r="J185" s="9"/>
      <c r="K185" s="9"/>
      <c r="L185" s="9"/>
    </row>
    <row r="186" spans="2:12" x14ac:dyDescent="0.25">
      <c r="B186" s="9">
        <v>86</v>
      </c>
      <c r="C186" s="9"/>
      <c r="D186" s="9">
        <v>8673677</v>
      </c>
      <c r="E186" t="s">
        <v>13</v>
      </c>
      <c r="F186" s="9"/>
      <c r="G186" s="9"/>
      <c r="H186" s="9"/>
      <c r="I186" s="9"/>
      <c r="J186" s="9"/>
      <c r="K186" s="9"/>
      <c r="L186" s="9"/>
    </row>
    <row r="187" spans="2:12" x14ac:dyDescent="0.25">
      <c r="B187" s="9">
        <v>87</v>
      </c>
      <c r="C187" s="9"/>
      <c r="D187" s="9">
        <v>10844503</v>
      </c>
      <c r="E187" t="s">
        <v>13</v>
      </c>
      <c r="F187" s="9"/>
      <c r="G187" s="9"/>
      <c r="H187" s="9"/>
      <c r="I187" s="9"/>
      <c r="J187" s="9"/>
      <c r="K187" s="9"/>
      <c r="L187" s="9"/>
    </row>
    <row r="188" spans="2:12" x14ac:dyDescent="0.25">
      <c r="B188" s="9">
        <v>87</v>
      </c>
      <c r="C188" s="9"/>
      <c r="D188" s="9">
        <v>4390543</v>
      </c>
      <c r="E188" t="s">
        <v>13</v>
      </c>
      <c r="F188" s="9"/>
      <c r="G188" s="9"/>
      <c r="H188" s="9"/>
      <c r="I188" s="9"/>
      <c r="J188" s="9"/>
      <c r="K188" s="9"/>
      <c r="L188" s="9"/>
    </row>
    <row r="189" spans="2:12" x14ac:dyDescent="0.25">
      <c r="B189" s="9">
        <v>89</v>
      </c>
      <c r="C189" s="9"/>
      <c r="D189" s="9">
        <v>6788412</v>
      </c>
      <c r="E189" t="s">
        <v>13</v>
      </c>
      <c r="F189" s="9"/>
      <c r="G189" s="9"/>
      <c r="H189" s="9"/>
      <c r="I189" s="9"/>
      <c r="J189" s="9"/>
      <c r="K189" s="9"/>
      <c r="L189" s="9"/>
    </row>
    <row r="190" spans="2:12" x14ac:dyDescent="0.25">
      <c r="B190" s="9">
        <v>89</v>
      </c>
      <c r="C190" s="9"/>
      <c r="D190" s="9">
        <v>4735981</v>
      </c>
      <c r="E190" t="s">
        <v>13</v>
      </c>
      <c r="F190" s="9"/>
      <c r="G190" s="9"/>
      <c r="H190" s="9"/>
      <c r="I190" s="9"/>
      <c r="J190" s="9"/>
      <c r="K190" s="9"/>
      <c r="L190" s="9"/>
    </row>
    <row r="191" spans="2:12" x14ac:dyDescent="0.25">
      <c r="B191" s="9">
        <v>89</v>
      </c>
      <c r="C191" s="9"/>
      <c r="D191" s="9">
        <v>4864588</v>
      </c>
      <c r="E191" t="s">
        <v>13</v>
      </c>
      <c r="F191" s="9"/>
      <c r="G191" s="9"/>
      <c r="H191" s="9"/>
      <c r="I191" s="9"/>
      <c r="J191" s="9"/>
      <c r="K191" s="9"/>
      <c r="L191" s="9"/>
    </row>
    <row r="192" spans="2:12" x14ac:dyDescent="0.25">
      <c r="B192" s="9">
        <v>90</v>
      </c>
      <c r="C192" s="9"/>
      <c r="D192" s="9">
        <v>9387330</v>
      </c>
      <c r="E192" t="s">
        <v>13</v>
      </c>
      <c r="F192" s="9"/>
      <c r="G192" s="9"/>
      <c r="H192" s="9"/>
      <c r="I192" s="9"/>
      <c r="J192" s="9"/>
      <c r="K192" s="9"/>
      <c r="L192" s="9"/>
    </row>
    <row r="193" spans="2:12" x14ac:dyDescent="0.25">
      <c r="B193" s="9">
        <v>90</v>
      </c>
      <c r="C193" s="9"/>
      <c r="D193" s="9">
        <v>7708215</v>
      </c>
      <c r="E193" t="s">
        <v>13</v>
      </c>
      <c r="F193" s="9"/>
      <c r="G193" s="9"/>
      <c r="H193" s="9"/>
      <c r="I193" s="9"/>
      <c r="J193" s="9"/>
      <c r="K193" s="9"/>
      <c r="L193" s="9"/>
    </row>
    <row r="194" spans="2:12" x14ac:dyDescent="0.25">
      <c r="B194" s="9">
        <v>90</v>
      </c>
      <c r="C194" s="9"/>
      <c r="D194" s="9">
        <v>9281329</v>
      </c>
      <c r="E194" t="s">
        <v>13</v>
      </c>
      <c r="F194" s="9"/>
      <c r="G194" s="9"/>
      <c r="H194" s="9"/>
      <c r="I194" s="9"/>
      <c r="J194" s="9"/>
      <c r="K194" s="9"/>
      <c r="L194" s="9"/>
    </row>
    <row r="195" spans="2:12" x14ac:dyDescent="0.25">
      <c r="B195" s="9">
        <v>91</v>
      </c>
      <c r="C195" s="9"/>
      <c r="D195" s="9">
        <v>4316677</v>
      </c>
      <c r="E195" t="s">
        <v>13</v>
      </c>
      <c r="F195" s="9"/>
      <c r="G195" s="9"/>
      <c r="H195" s="9"/>
      <c r="I195" s="9"/>
      <c r="J195" s="9"/>
      <c r="K195" s="9"/>
      <c r="L195" s="9"/>
    </row>
    <row r="196" spans="2:12" x14ac:dyDescent="0.25">
      <c r="B196" s="9">
        <v>91</v>
      </c>
      <c r="C196" s="9"/>
      <c r="D196" s="9">
        <v>124444173</v>
      </c>
      <c r="E196" t="s">
        <v>13</v>
      </c>
      <c r="F196" s="9"/>
      <c r="G196" s="9"/>
      <c r="H196" s="9"/>
      <c r="I196" s="9"/>
      <c r="J196" s="9"/>
      <c r="K196" s="9"/>
      <c r="L196" s="9"/>
    </row>
    <row r="197" spans="2:12" x14ac:dyDescent="0.25">
      <c r="B197" s="9">
        <v>92</v>
      </c>
      <c r="C197" s="9"/>
      <c r="D197" s="9">
        <v>4495052</v>
      </c>
      <c r="E197" t="s">
        <v>13</v>
      </c>
      <c r="F197" s="9"/>
      <c r="G197" s="9"/>
      <c r="H197" s="9"/>
      <c r="I197" s="9"/>
      <c r="J197" s="9"/>
      <c r="K197" s="9"/>
      <c r="L197" s="9"/>
    </row>
    <row r="198" spans="2:12" x14ac:dyDescent="0.25">
      <c r="B198" s="9">
        <v>93</v>
      </c>
      <c r="C198" s="9"/>
      <c r="D198" s="9">
        <v>15426292</v>
      </c>
      <c r="E198" t="s">
        <v>13</v>
      </c>
      <c r="F198" s="9"/>
      <c r="G198" s="9"/>
      <c r="H198" s="9"/>
      <c r="I198" s="9"/>
      <c r="J198" s="9"/>
      <c r="K198" s="9"/>
      <c r="L198" s="9"/>
    </row>
    <row r="199" spans="2:12" x14ac:dyDescent="0.25">
      <c r="B199" s="9">
        <v>93</v>
      </c>
      <c r="C199" s="9"/>
      <c r="D199" s="9">
        <v>11588715</v>
      </c>
      <c r="E199" t="s">
        <v>13</v>
      </c>
      <c r="F199" s="9"/>
      <c r="G199" s="9"/>
      <c r="H199" s="9"/>
      <c r="I199" s="9"/>
      <c r="J199" s="9"/>
      <c r="K199" s="9"/>
      <c r="L199" s="9"/>
    </row>
    <row r="200" spans="2:12" x14ac:dyDescent="0.25">
      <c r="B200" s="9">
        <v>93</v>
      </c>
      <c r="C200" s="9"/>
      <c r="D200" s="9">
        <v>4139300</v>
      </c>
      <c r="E200" t="s">
        <v>13</v>
      </c>
      <c r="F200" s="9"/>
      <c r="G200" s="9"/>
      <c r="H200" s="9"/>
      <c r="I200" s="9"/>
      <c r="J200" s="9"/>
      <c r="K200" s="9"/>
      <c r="L200" s="9"/>
    </row>
    <row r="201" spans="2:12" x14ac:dyDescent="0.25">
      <c r="B201" s="9">
        <v>94</v>
      </c>
      <c r="C201" s="9"/>
      <c r="D201" s="9">
        <v>8939831</v>
      </c>
      <c r="E201" t="s">
        <v>13</v>
      </c>
      <c r="F201" s="9"/>
      <c r="G201" s="9"/>
      <c r="H201" s="9"/>
      <c r="I201" s="9"/>
      <c r="J201" s="9"/>
      <c r="K201" s="9"/>
      <c r="L201" s="9"/>
    </row>
    <row r="202" spans="2:12" x14ac:dyDescent="0.25">
      <c r="B202" s="9">
        <v>95</v>
      </c>
      <c r="C202" s="9"/>
      <c r="D202" s="9">
        <v>6420053</v>
      </c>
      <c r="E202" t="s">
        <v>13</v>
      </c>
      <c r="F202" s="9"/>
      <c r="G202" s="9"/>
      <c r="H202" s="9"/>
      <c r="I202" s="9"/>
      <c r="J202" s="9"/>
      <c r="K202" s="9"/>
      <c r="L202" s="9"/>
    </row>
    <row r="203" spans="2:12" x14ac:dyDescent="0.25">
      <c r="B203" s="9">
        <v>95</v>
      </c>
      <c r="C203" s="9"/>
      <c r="D203" s="9">
        <v>12195294</v>
      </c>
      <c r="E203" t="s">
        <v>13</v>
      </c>
      <c r="F203" s="9"/>
      <c r="G203" s="9"/>
      <c r="H203" s="9"/>
      <c r="I203" s="9"/>
      <c r="J203" s="9"/>
      <c r="K203" s="9"/>
      <c r="L203" s="9"/>
    </row>
    <row r="204" spans="2:12" x14ac:dyDescent="0.25">
      <c r="B204" s="9">
        <v>95</v>
      </c>
      <c r="C204" s="9"/>
      <c r="D204" s="9">
        <v>12182119</v>
      </c>
      <c r="E204" t="s">
        <v>13</v>
      </c>
      <c r="F204" s="9"/>
      <c r="G204" s="9"/>
      <c r="H204" s="9"/>
      <c r="I204" s="9"/>
      <c r="J204" s="9"/>
      <c r="K204" s="9"/>
      <c r="L204" s="9"/>
    </row>
    <row r="205" spans="2:12" x14ac:dyDescent="0.25">
      <c r="B205" s="9">
        <v>96</v>
      </c>
      <c r="C205" s="9"/>
      <c r="D205" s="9">
        <v>4925578</v>
      </c>
      <c r="E205" t="s">
        <v>13</v>
      </c>
      <c r="F205" s="9"/>
      <c r="G205" s="9"/>
      <c r="H205" s="9"/>
      <c r="I205" s="9"/>
      <c r="J205" s="9"/>
      <c r="K205" s="9"/>
      <c r="L205" s="9"/>
    </row>
    <row r="206" spans="2:12" x14ac:dyDescent="0.25">
      <c r="B206" s="9">
        <v>96</v>
      </c>
      <c r="C206" s="9"/>
      <c r="D206" s="9">
        <v>4900440</v>
      </c>
      <c r="E206" t="s">
        <v>13</v>
      </c>
      <c r="F206" s="9"/>
      <c r="G206" s="9"/>
      <c r="H206" s="9"/>
      <c r="I206" s="9"/>
      <c r="J206" s="9"/>
      <c r="K206" s="9"/>
      <c r="L206" s="9"/>
    </row>
    <row r="207" spans="2:12" x14ac:dyDescent="0.25">
      <c r="B207" s="9">
        <v>98</v>
      </c>
      <c r="C207" s="9"/>
      <c r="D207" s="9">
        <v>24322894</v>
      </c>
      <c r="E207" t="s">
        <v>13</v>
      </c>
      <c r="F207" s="9"/>
      <c r="G207" s="9"/>
      <c r="H207" s="9"/>
      <c r="I207" s="9"/>
      <c r="J207" s="9"/>
      <c r="K207" s="9"/>
      <c r="L207" s="9"/>
    </row>
    <row r="208" spans="2:12" x14ac:dyDescent="0.25">
      <c r="B208" s="9">
        <v>98</v>
      </c>
      <c r="C208" s="9"/>
      <c r="D208" s="9">
        <v>4455867</v>
      </c>
      <c r="E208" t="s">
        <v>13</v>
      </c>
      <c r="F208" s="9"/>
      <c r="G208" s="9"/>
      <c r="H208" s="9"/>
      <c r="I208" s="9"/>
      <c r="J208" s="9"/>
      <c r="K208" s="9"/>
      <c r="L208" s="9"/>
    </row>
    <row r="209" spans="2:12" x14ac:dyDescent="0.25">
      <c r="B209" s="9">
        <v>98</v>
      </c>
      <c r="C209" s="9"/>
      <c r="D209" s="9">
        <v>8345880</v>
      </c>
      <c r="E209" t="s">
        <v>13</v>
      </c>
      <c r="F209" s="9"/>
      <c r="G209" s="9"/>
      <c r="H209" s="9"/>
      <c r="I209" s="9"/>
      <c r="J209" s="9"/>
      <c r="K209" s="9"/>
      <c r="L209" s="9"/>
    </row>
    <row r="210" spans="2:12" x14ac:dyDescent="0.25">
      <c r="B210" s="9">
        <v>99</v>
      </c>
      <c r="C210" s="9"/>
      <c r="D210" s="9">
        <v>7406447</v>
      </c>
      <c r="E210" t="s">
        <v>13</v>
      </c>
      <c r="F210" s="9"/>
      <c r="G210" s="9"/>
      <c r="H210" s="9"/>
      <c r="I210" s="9"/>
      <c r="J210" s="9"/>
      <c r="K210" s="9"/>
      <c r="L210" s="9"/>
    </row>
    <row r="211" spans="2:12" x14ac:dyDescent="0.25">
      <c r="B211" s="9">
        <v>100</v>
      </c>
      <c r="C211" s="9"/>
      <c r="D211" s="9">
        <v>22427101</v>
      </c>
      <c r="E211" t="s">
        <v>13</v>
      </c>
      <c r="F211" s="9"/>
      <c r="G211" s="9"/>
      <c r="H211" s="9"/>
      <c r="I211" s="9"/>
      <c r="J211" s="9"/>
      <c r="K211" s="9"/>
      <c r="L211" s="9"/>
    </row>
    <row r="212" spans="2:12" x14ac:dyDescent="0.25">
      <c r="B212" s="9">
        <v>100</v>
      </c>
      <c r="C212" s="9"/>
      <c r="D212" s="9">
        <v>26912203</v>
      </c>
      <c r="E212" t="s">
        <v>13</v>
      </c>
      <c r="F212" s="9"/>
      <c r="G212" s="9"/>
      <c r="H212" s="9"/>
      <c r="I212" s="9"/>
      <c r="J212" s="9"/>
      <c r="K212" s="9"/>
      <c r="L212" s="9"/>
    </row>
    <row r="213" spans="2:12" x14ac:dyDescent="0.25">
      <c r="B213" s="9">
        <v>100</v>
      </c>
      <c r="C213" s="9"/>
      <c r="D213" s="9">
        <v>6074066</v>
      </c>
      <c r="E213" t="s">
        <v>13</v>
      </c>
      <c r="F213" s="9"/>
      <c r="G213" s="9"/>
      <c r="H213" s="9"/>
      <c r="I213" s="9"/>
      <c r="J213" s="9"/>
      <c r="K213" s="9"/>
      <c r="L213" s="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91FF-DD9E-406D-9676-133A366E95BB}">
  <sheetPr codeName="Feuil4">
    <tabColor theme="9" tint="0.79998168889431442"/>
  </sheetPr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24</vt:i4>
      </vt:variant>
    </vt:vector>
  </HeadingPairs>
  <TitlesOfParts>
    <vt:vector size="28" baseType="lpstr">
      <vt:lpstr>Python</vt:lpstr>
      <vt:lpstr>Input</vt:lpstr>
      <vt:lpstr>Output</vt:lpstr>
      <vt:lpstr>UI Template</vt:lpstr>
      <vt:lpstr>engine_path</vt:lpstr>
      <vt:lpstr>frequency_distribution</vt:lpstr>
      <vt:lpstr>frequency_parameter_0</vt:lpstr>
      <vt:lpstr>frequency_parameter_1</vt:lpstr>
      <vt:lpstr>frequency_parameter_2</vt:lpstr>
      <vt:lpstr>frequency_parameter_3</vt:lpstr>
      <vt:lpstr>frequency_parameter_4</vt:lpstr>
      <vt:lpstr>line_of_business</vt:lpstr>
      <vt:lpstr>loss_type</vt:lpstr>
      <vt:lpstr>model</vt:lpstr>
      <vt:lpstr>model_hash</vt:lpstr>
      <vt:lpstr>peril</vt:lpstr>
      <vt:lpstr>peril_id</vt:lpstr>
      <vt:lpstr>python_interpreter_path</vt:lpstr>
      <vt:lpstr>python_script_path</vt:lpstr>
      <vt:lpstr>region</vt:lpstr>
      <vt:lpstr>severity_distribution</vt:lpstr>
      <vt:lpstr>severity_parameter_0</vt:lpstr>
      <vt:lpstr>severity_parameter_1</vt:lpstr>
      <vt:lpstr>severity_parameter_2</vt:lpstr>
      <vt:lpstr>severity_parameter_3</vt:lpstr>
      <vt:lpstr>severity_parameter_4</vt:lpstr>
      <vt:lpstr>simulated_years</vt:lpstr>
      <vt:lpstr>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</dc:creator>
  <cp:lastModifiedBy>Alpha</cp:lastModifiedBy>
  <dcterms:created xsi:type="dcterms:W3CDTF">2025-02-27T16:45:03Z</dcterms:created>
  <dcterms:modified xsi:type="dcterms:W3CDTF">2025-02-27T22:10:18Z</dcterms:modified>
</cp:coreProperties>
</file>